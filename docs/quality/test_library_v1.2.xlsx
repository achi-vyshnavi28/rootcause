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summary" sheetId="1" state="visible" r:id="rId1"/>
    <sheet name="Change log" sheetId="2" state="visible" r:id="rId2"/>
    <sheet name="Test cases" sheetId="3" state="visible" r:id="rId3"/>
    <sheet name="Traceability" sheetId="4" state="visible" r:id="rId4"/>
    <sheet name="Risk register" sheetId="5" state="visible" r:id="rId5"/>
    <sheet name="Benchmark" sheetId="6" state="visible" r:id="rId6"/>
    <sheet name="Bu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E4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ngelog" displayName="Changelog" ref="A1:C3" headerRowCount="1">
  <autoFilter ref="A1:C3"/>
  <tableColumns count="3">
    <tableColumn id="1" name="Version"/>
    <tableColumn id="2" name="Date"/>
    <tableColumn id="3" name="Change"/>
  </tableColumns>
  <tableStyleInfo name="TableStyleMedium2" showRowStripes="1"/>
</table>
</file>

<file path=xl/tables/table2.xml><?xml version="1.0" encoding="utf-8"?>
<table xmlns="http://schemas.openxmlformats.org/spreadsheetml/2006/main" id="2" name="Testcases" displayName="Testcases" ref="A1:I21" headerRowCount="1">
  <autoFilter ref="A1:I21"/>
  <tableColumns count="9">
    <tableColumn id="1" name="ID"/>
    <tableColumn id="2" name="Title"/>
    <tableColumn id="3" name="Preconditions"/>
    <tableColumn id="4" name="Steps"/>
    <tableColumn id="5" name="Expected result"/>
    <tableColumn id="6" name="Automated by"/>
    <tableColumn id="7" name="Result"/>
    <tableColumn id="8" name="Evidence"/>
    <tableColumn id="9" name="Executed on"/>
  </tableColumns>
  <tableStyleInfo name="TableStyleMedium2" showRowStripes="1"/>
</table>
</file>

<file path=xl/tables/table3.xml><?xml version="1.0" encoding="utf-8"?>
<table xmlns="http://schemas.openxmlformats.org/spreadsheetml/2006/main" id="3" name="Traceability" displayName="Traceability" ref="A1:E10" headerRowCount="1">
  <autoFilter ref="A1:E10"/>
  <tableColumns count="5">
    <tableColumn id="1" name="Requirement"/>
    <tableColumn id="2" name="Text"/>
    <tableColumn id="3" name="Risk"/>
    <tableColumn id="4" name="Verified by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Riskregister" displayName="Riskregister" ref="A1:I10" headerRowCount="1">
  <autoFilter ref="A1:I10"/>
  <tableColumns count="9">
    <tableColumn id="1" name="#"/>
    <tableColumn id="2" name="Hazard"/>
    <tableColumn id="3" name="Effect"/>
    <tableColumn id="4" name="S"/>
    <tableColumn id="5" name="P"/>
    <tableColumn id="6" name="D"/>
    <tableColumn id="7" name="RPN"/>
    <tableColumn id="8" name="Control"/>
    <tableColumn id="9" name="Evidence"/>
  </tableColumns>
  <tableStyleInfo name="TableStyleMedium2" showRowStripes="1"/>
</table>
</file>

<file path=xl/tables/table5.xml><?xml version="1.0" encoding="utf-8"?>
<table xmlns="http://schemas.openxmlformats.org/spreadsheetml/2006/main" id="5" name="Benchmark" displayName="Benchmark" ref="A1:J51" headerRowCount="1">
  <autoFilter ref="A1:J51"/>
  <tableColumns count="10">
    <tableColumn id="1" name="Question"/>
    <tableColumn id="2" name="Category"/>
    <tableColumn id="3" name="Status"/>
    <tableColumn id="4" name="Pass"/>
    <tableColumn id="5" name="Hit@3"/>
    <tableColumn id="6" name="Seconds"/>
    <tableColumn id="7" name="Cost USD"/>
    <tableColumn id="8" name="LLM calls"/>
    <tableColumn id="9" name="SQL errors"/>
    <tableColumn id="10" name="Unsupported numbers"/>
  </tableColumns>
  <tableStyleInfo name="TableStyleMedium2" showRowStripes="1"/>
</table>
</file>

<file path=xl/tables/table6.xml><?xml version="1.0" encoding="utf-8"?>
<table xmlns="http://schemas.openxmlformats.org/spreadsheetml/2006/main" id="6" name="Bugs" displayName="Bugs" ref="A1:D4" headerRowCount="1">
  <autoFilter ref="A1:D4"/>
  <tableColumns count="4">
    <tableColumn id="1" name="ID"/>
    <tableColumn id="2" name="Title"/>
    <tableColumn id="3" name="Severity"/>
    <tableColumn id="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9" customWidth="1" min="4" max="4"/>
  </cols>
  <sheetData>
    <row r="1">
      <c r="A1" s="1" t="inlineStr">
        <is>
          <t>Model: gemini/gemini-3.6-flash  ·  run finished 2026-09-24T08:20:47+00:00</t>
        </is>
      </c>
    </row>
    <row r="2">
      <c r="A2" s="1" t="inlineStr">
        <is>
          <t>Metric</t>
        </is>
      </c>
      <c r="B2" s="1" t="inlineStr">
        <is>
          <t>Formula over the raw rows</t>
        </is>
      </c>
      <c r="C2" s="1" t="inlineStr">
        <is>
          <t>Report says</t>
        </is>
      </c>
      <c r="D2" s="1" t="inlineStr">
        <is>
          <t>Match</t>
        </is>
      </c>
    </row>
    <row r="3">
      <c r="A3" t="inlineStr">
        <is>
          <t>SQL execution accuracy %</t>
        </is>
      </c>
      <c r="B3" s="2">
        <f>100*COUNTIFS(Benchmark!B2:B51,"sql",Benchmark!D2:D51,TRUE)/COUNTIF(Benchmark!B2:B51,"sql")</f>
        <v/>
      </c>
      <c r="C3" t="n">
        <v>100</v>
      </c>
      <c r="D3">
        <f>IF(ABS(B3-C3)&lt;=0.05,"yes","CHECK")</f>
        <v/>
      </c>
    </row>
    <row r="4">
      <c r="A4" t="inlineStr">
        <is>
          <t>Root-cause Hit@1 %</t>
        </is>
      </c>
      <c r="B4" s="2">
        <f>100*COUNTIFS(Benchmark!B2:B51,"root_cause",Benchmark!D2:D51,TRUE)/COUNTIF(Benchmark!B2:B51,"root_cause")</f>
        <v/>
      </c>
      <c r="C4" t="n">
        <v>93.3</v>
      </c>
      <c r="D4">
        <f>IF(ABS(B4-C4)&lt;=0.05,"yes","CHECK")</f>
        <v/>
      </c>
    </row>
    <row r="5">
      <c r="A5" t="inlineStr">
        <is>
          <t>Root-cause Hit@3 %</t>
        </is>
      </c>
      <c r="B5" s="2">
        <f>100*COUNTIFS(Benchmark!B2:B51,"root_cause",Benchmark!E2:E51,TRUE)/COUNTIF(Benchmark!B2:B51,"root_cause")</f>
        <v/>
      </c>
      <c r="C5" t="n">
        <v>100</v>
      </c>
      <c r="D5">
        <f>IF(ABS(B5-C5)&lt;=0.05,"yes","CHECK")</f>
        <v/>
      </c>
    </row>
    <row r="6">
      <c r="A6" t="inlineStr">
        <is>
          <t>Correct refusals %</t>
        </is>
      </c>
      <c r="B6" s="2">
        <f>100*COUNTIFS(Benchmark!B2:B51,"refusal",Benchmark!D2:D51,TRUE)/COUNTIF(Benchmark!B2:B51,"refusal")</f>
        <v/>
      </c>
      <c r="C6" t="n">
        <v>100</v>
      </c>
      <c r="D6">
        <f>IF(ABS(B6-C6)&lt;=0.05,"yes","CHECK")</f>
        <v/>
      </c>
    </row>
    <row r="7">
      <c r="A7" t="inlineStr">
        <is>
          <t>Answers with unsupported numbers %</t>
        </is>
      </c>
      <c r="B7" s="2">
        <f>100*COUNTIF(Benchmark!J2:J51,"&gt;0")/COUNTA(Benchmark!A2:A51)</f>
        <v/>
      </c>
      <c r="C7" t="n">
        <v>0</v>
      </c>
      <c r="D7">
        <f>IF(ABS(B7-C7)&lt;=0.05,"yes","CHECK")</f>
        <v/>
      </c>
    </row>
    <row r="8">
      <c r="A8" t="inlineStr">
        <is>
          <t>Median latency (s)</t>
        </is>
      </c>
      <c r="B8" s="2">
        <f>MEDIAN(Benchmark!F2:F51)</f>
        <v/>
      </c>
      <c r="C8" t="n">
        <v>21.66</v>
      </c>
      <c r="D8">
        <f>IF(ABS(B8-C8)&lt;=0.05,"yes","CHECK")</f>
        <v/>
      </c>
    </row>
    <row r="9">
      <c r="A9" t="inlineStr">
        <is>
          <t>Average cost per question (USD)</t>
        </is>
      </c>
      <c r="B9" s="3">
        <f>AVERAGE(Benchmark!G2:G51)</f>
        <v/>
      </c>
      <c r="C9" t="n">
        <v>0.004237</v>
      </c>
      <c r="D9">
        <f>IF(ABS(B9-C9)&lt;=0.05,"yes","CHECK")</f>
        <v/>
      </c>
    </row>
    <row r="10">
      <c r="A10" t="inlineStr">
        <is>
          <t>Questions</t>
        </is>
      </c>
      <c r="B10" s="2">
        <f>COUNTA(Benchmark!A2:A51)</f>
        <v/>
      </c>
      <c r="C10" t="n">
        <v>50</v>
      </c>
      <c r="D10">
        <f>IF(ABS(B10-C10)&lt;=0.05,"yes","CHECK")</f>
        <v/>
      </c>
    </row>
    <row r="12">
      <c r="A12" s="1" t="inlineStr">
        <is>
          <t>Model change control (docs/gxp/04): accept a new model only if all hold</t>
        </is>
      </c>
    </row>
    <row r="13">
      <c r="A13" t="inlineStr">
        <is>
          <t>SQL accuracy ≥ 95%</t>
        </is>
      </c>
      <c r="B13">
        <f>IF(B3&gt;=95,"meets","FAILS")</f>
        <v/>
      </c>
    </row>
    <row r="14">
      <c r="A14" t="inlineStr">
        <is>
          <t>Hit@1 ≥ 85%</t>
        </is>
      </c>
      <c r="B14">
        <f>IF(B4&gt;=85,"meets","FAILS")</f>
        <v/>
      </c>
    </row>
    <row r="15">
      <c r="A15" t="inlineStr">
        <is>
          <t>Refusals = 100%</t>
        </is>
      </c>
      <c r="B15">
        <f>IF(B6=100,"meets","FAILS")</f>
        <v/>
      </c>
    </row>
    <row r="16">
      <c r="A16" t="inlineStr">
        <is>
          <t>Unsupported numbers ≤ 2%</t>
        </is>
      </c>
      <c r="B16">
        <f>IF(B7&lt;=2,"meets","FAILS")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0" customWidth="1" min="3" max="3"/>
  </cols>
  <sheetData>
    <row r="1">
      <c r="A1" t="inlineStr">
        <is>
          <t>Version</t>
        </is>
      </c>
      <c r="B1" t="inlineStr">
        <is>
          <t>Date</t>
        </is>
      </c>
      <c r="C1" t="inlineStr">
        <is>
          <t>Change</t>
        </is>
      </c>
    </row>
    <row r="2">
      <c r="A2" s="4" t="inlineStr">
        <is>
          <t>1.0</t>
        </is>
      </c>
      <c r="B2" s="4" t="inlineStr">
        <is>
          <t>2026-09-23</t>
        </is>
      </c>
      <c r="C2" s="4" t="inlineStr">
        <is>
          <t>15 manual/UAT cases (TC01-TC15) for the v1 agent</t>
        </is>
      </c>
    </row>
    <row r="3">
      <c r="A3" s="4" t="inlineStr">
        <is>
          <t>1.2</t>
        </is>
      </c>
      <c r="B3" s="4" t="inlineStr">
        <is>
          <t>2026-09-25</t>
        </is>
      </c>
      <c r="C3" s="4" t="inlineStr">
        <is>
          <t>GxP readiness: TC16-TC20 (audit trail, tampering, model per answer, baselining, model change control); 3 real bugs logged; results linked to Playwright, Postman, pytest and benchmark evidence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45" customWidth="1" min="4" max="4"/>
    <col width="50" customWidth="1" min="5" max="5"/>
    <col width="30" customWidth="1" min="6" max="6"/>
    <col width="14" customWidth="1" min="7" max="7"/>
    <col width="40" customWidth="1" min="8" max="8"/>
    <col width="12" customWidth="1" min="9" max="9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Automated by</t>
        </is>
      </c>
      <c r="G1" t="inlineStr">
        <is>
          <t>Result</t>
        </is>
      </c>
      <c r="H1" t="inlineStr">
        <is>
          <t>Evidence</t>
        </is>
      </c>
      <c r="I1" t="inlineStr">
        <is>
          <t>Executed on</t>
        </is>
      </c>
    </row>
    <row r="2">
      <c r="A2" s="4" t="inlineStr">
        <is>
          <t>TC01</t>
        </is>
      </c>
      <c r="B2" s="4" t="inlineStr">
        <is>
          <t>Root cause: order drop</t>
        </is>
      </c>
      <c r="C2" s="4" t="inlineStr">
        <is>
          <t>Lab data loaded</t>
        </is>
      </c>
      <c r="D2" s="4" t="inlineStr">
        <is>
          <t>1. Select "Olist lab" 2. Ask "Why did the number of orders drop in April 2018 compared to March 2018?"</t>
        </is>
      </c>
      <c r="E2" s="4" t="inlineStr">
        <is>
          <t>Status ok; headline shows orders March → April with % change; top candidate customer_state = MG; citations [Q#] present</t>
        </is>
      </c>
      <c r="F2" s="4" t="inlineStr">
        <is>
          <t>rc01</t>
        </is>
      </c>
      <c r="G2" s="4" t="inlineStr">
        <is>
          <t>Pass</t>
        </is>
      </c>
      <c r="H2" s="4" t="inlineStr">
        <is>
          <t>Benchmark rc01 (Hit@1)</t>
        </is>
      </c>
      <c r="I2" s="4" t="inlineStr">
        <is>
          <t>2026-09-25</t>
        </is>
      </c>
    </row>
    <row r="3">
      <c r="A3" s="4" t="inlineStr">
        <is>
          <t>TC02</t>
        </is>
      </c>
      <c r="B3" s="4" t="inlineStr">
        <is>
          <t>Root cause: ratio metric</t>
        </is>
      </c>
      <c r="C3" s="4" t="inlineStr">
        <is>
          <t>Lab data</t>
        </is>
      </c>
      <c r="D3" s="4" t="inlineStr">
        <is>
          <t>Ask "Why did the late delivery rate increase in June 2018 compared to May 2018?"</t>
        </is>
      </c>
      <c r="E3" s="4" t="inlineStr">
        <is>
          <t>Metric shown as a rate (3 decimals); top candidate customer_state = SP; carrier incident cited [D#]</t>
        </is>
      </c>
      <c r="F3" s="4" t="inlineStr">
        <is>
          <t>rc04</t>
        </is>
      </c>
      <c r="G3" s="4" t="inlineStr">
        <is>
          <t>Pass</t>
        </is>
      </c>
      <c r="H3" s="4" t="inlineStr">
        <is>
          <t>Benchmark rc04 (Hit@1)</t>
        </is>
      </c>
      <c r="I3" s="4" t="inlineStr">
        <is>
          <t>2026-09-25</t>
        </is>
      </c>
    </row>
    <row r="4">
      <c r="A4" s="4" t="inlineStr">
        <is>
          <t>TC03</t>
        </is>
      </c>
      <c r="B4" s="4" t="inlineStr">
        <is>
          <t>Data bug detection</t>
        </is>
      </c>
      <c r="C4" s="4" t="inlineStr">
        <is>
          <t>Lab data</t>
        </is>
      </c>
      <c r="D4" s="4" t="inlineStr">
        <is>
          <t>Ask "Why did revenue jump in October 2017 compared to September 2017?"</t>
        </is>
      </c>
      <c r="E4" s="4" t="inlineStr">
        <is>
          <t>Red data-quality banner (order_payments duplicates 0% → ~29%); summary says data problem; ETL incident cited</t>
        </is>
      </c>
      <c r="F4" s="4" t="inlineStr">
        <is>
          <t>rc13</t>
        </is>
      </c>
      <c r="G4" s="4" t="inlineStr">
        <is>
          <t>Pass</t>
        </is>
      </c>
      <c r="H4" s="4" t="inlineStr">
        <is>
          <t>Benchmark rc13 (Hit@1)</t>
        </is>
      </c>
      <c r="I4" s="4" t="inlineStr">
        <is>
          <t>2026-09-25</t>
        </is>
      </c>
    </row>
    <row r="5">
      <c r="A5" s="4" t="inlineStr">
        <is>
          <t>TC04</t>
        </is>
      </c>
      <c r="B5" s="4" t="inlineStr">
        <is>
          <t>Plain data question</t>
        </is>
      </c>
      <c r="C5" s="4" t="inlineStr">
        <is>
          <t>Original data</t>
        </is>
      </c>
      <c r="D5" s="4" t="inlineStr">
        <is>
          <t>Select "Olist (original)"; ask "How many orders were canceled?"</t>
        </is>
      </c>
      <c r="E5" s="4" t="inlineStr">
        <is>
          <t>Answer 625 with [Q1]; one query in the audit trail</t>
        </is>
      </c>
      <c r="F5" s="4" t="inlineStr">
        <is>
          <t>sql17</t>
        </is>
      </c>
      <c r="G5" s="4" t="inlineStr">
        <is>
          <t>Pass</t>
        </is>
      </c>
      <c r="H5" s="4" t="inlineStr">
        <is>
          <t>Playwright + Postman 05 (answer 625, cites Q1)</t>
        </is>
      </c>
      <c r="I5" s="4" t="inlineStr">
        <is>
          <t>2026-09-25</t>
        </is>
      </c>
    </row>
    <row r="6">
      <c r="A6" s="4" t="inlineStr">
        <is>
          <t>TC05</t>
        </is>
      </c>
      <c r="B6" s="4" t="inlineStr">
        <is>
          <t>Refusal</t>
        </is>
      </c>
      <c r="C6" s="4" t="inlineStr">
        <is>
          <t>Any</t>
        </is>
      </c>
      <c r="D6" s="4" t="inlineStr">
        <is>
          <t>Ask "Why did website traffic drop?"</t>
        </is>
      </c>
      <c r="E6" s="4" t="inlineStr">
        <is>
          <t>Status unanswerable; no queries run</t>
        </is>
      </c>
      <c r="F6" s="4" t="inlineStr">
        <is>
          <t>rf01</t>
        </is>
      </c>
      <c r="G6" s="4" t="inlineStr">
        <is>
          <t>Pass</t>
        </is>
      </c>
      <c r="H6" s="4" t="inlineStr">
        <is>
          <t>Benchmark rf01</t>
        </is>
      </c>
      <c r="I6" s="4" t="inlineStr">
        <is>
          <t>2026-09-25</t>
        </is>
      </c>
    </row>
    <row r="7">
      <c r="A7" s="4" t="inlineStr">
        <is>
          <t>TC06</t>
        </is>
      </c>
      <c r="B7" s="4" t="inlineStr">
        <is>
          <t>Audit trail</t>
        </is>
      </c>
      <c r="C7" s="4" t="inlineStr">
        <is>
          <t>Run TC01</t>
        </is>
      </c>
      <c r="D7" s="4" t="inlineStr">
        <is>
          <t>Expand "Audit trail"</t>
        </is>
      </c>
      <c r="E7" s="4" t="inlineStr">
        <is>
          <t>Every query shows purpose, SQL, row count, time and preview; no errors</t>
        </is>
      </c>
      <c r="F7" s="4" t="inlineStr">
        <is>
          <t>–</t>
        </is>
      </c>
      <c r="G7" s="4" t="inlineStr">
        <is>
          <t>Pass</t>
        </is>
      </c>
      <c r="H7" s="4" t="inlineStr">
        <is>
          <t>Playwright: SQL with LIMIT shown in audit trail</t>
        </is>
      </c>
      <c r="I7" s="4" t="inlineStr">
        <is>
          <t>2026-09-25</t>
        </is>
      </c>
    </row>
    <row r="8">
      <c r="A8" s="4" t="inlineStr">
        <is>
          <t>TC07</t>
        </is>
      </c>
      <c r="B8" s="4" t="inlineStr">
        <is>
          <t>Unsafe SQL blocked</t>
        </is>
      </c>
      <c r="C8" s="4" t="inlineStr">
        <is>
          <t>pytest</t>
        </is>
      </c>
      <c r="D8" s="4" t="inlineStr">
        <is>
          <t>Run pytest tests/test_sql_validator.py</t>
        </is>
      </c>
      <c r="E8" s="4" t="inlineStr">
        <is>
          <t>All unsafe queries rejected (DELETE, DROP, CTE-DELETE, pg_sleep, other schemas)</t>
        </is>
      </c>
      <c r="F8" s="4" t="inlineStr">
        <is>
          <t>yes</t>
        </is>
      </c>
      <c r="G8" s="4" t="inlineStr">
        <is>
          <t>Pass</t>
        </is>
      </c>
      <c r="H8" s="4" t="inlineStr">
        <is>
          <t>pytest tests/test_sql_validator.py</t>
        </is>
      </c>
      <c r="I8" s="4" t="inlineStr">
        <is>
          <t>2026-09-25</t>
        </is>
      </c>
    </row>
    <row r="9">
      <c r="A9" s="4" t="inlineStr">
        <is>
          <t>TC08</t>
        </is>
      </c>
      <c r="B9" s="4" t="inlineStr">
        <is>
          <t>Read-only role</t>
        </is>
      </c>
      <c r="C9" s="4" t="inlineStr">
        <is>
          <t>DB set up</t>
        </is>
      </c>
      <c r="D9" s="4" t="inlineStr">
        <is>
          <t>Run python -m data.setup_readonly_role</t>
        </is>
      </c>
      <c r="E9" s="4" t="inlineStr">
        <is>
          <t>"Write test passed: DELETE was refused."</t>
        </is>
      </c>
      <c r="F9" s="4" t="inlineStr">
        <is>
          <t>yes</t>
        </is>
      </c>
      <c r="G9" s="4" t="inlineStr">
        <is>
          <t>Not run in v1.2</t>
        </is>
      </c>
      <c r="H9" s="4" t="inlineStr"/>
      <c r="I9" s="4" t="inlineStr"/>
    </row>
    <row r="10">
      <c r="A10" s="4" t="inlineStr">
        <is>
          <t>TC09</t>
        </is>
      </c>
      <c r="B10" s="4" t="inlineStr">
        <is>
          <t>Feedback</t>
        </is>
      </c>
      <c r="C10" s="4" t="inlineStr">
        <is>
          <t>Run any question</t>
        </is>
      </c>
      <c r="D10" s="4" t="inlineStr">
        <is>
          <t>Click 👍</t>
        </is>
      </c>
      <c r="E10" s="4" t="inlineStr">
        <is>
          <t>Toast "Thanks!"; a row in rootcause_app.feedback</t>
        </is>
      </c>
      <c r="F10" s="4" t="inlineStr">
        <is>
          <t>–</t>
        </is>
      </c>
      <c r="G10" s="4" t="inlineStr">
        <is>
          <t>Pass</t>
        </is>
      </c>
      <c r="H10" s="4" t="inlineStr">
        <is>
          <t>Postman 08-09 (invalid rating 422, valid saved)</t>
        </is>
      </c>
      <c r="I10" s="4" t="inlineStr">
        <is>
          <t>2026-09-25</t>
        </is>
      </c>
    </row>
    <row r="11">
      <c r="A11" s="4" t="inlineStr">
        <is>
          <t>TC10</t>
        </is>
      </c>
      <c r="B11" s="4" t="inlineStr">
        <is>
          <t>History</t>
        </is>
      </c>
      <c r="C11" s="4" t="inlineStr">
        <is>
          <t>Several runs</t>
        </is>
      </c>
      <c r="D11" s="4" t="inlineStr">
        <is>
          <t>Open History tab</t>
        </is>
      </c>
      <c r="E11" s="4" t="inlineStr">
        <is>
          <t>Runs listed newest first with status and duration</t>
        </is>
      </c>
      <c r="F11" s="4" t="inlineStr">
        <is>
          <t>–</t>
        </is>
      </c>
      <c r="G11" s="4" t="inlineStr">
        <is>
          <t>Pass</t>
        </is>
      </c>
      <c r="H11" s="4" t="inlineStr">
        <is>
          <t>Playwright History tab</t>
        </is>
      </c>
      <c r="I11" s="4" t="inlineStr">
        <is>
          <t>2026-09-25</t>
        </is>
      </c>
    </row>
    <row r="12">
      <c r="A12" s="4" t="inlineStr">
        <is>
          <t>TC11</t>
        </is>
      </c>
      <c r="B12" s="4" t="inlineStr">
        <is>
          <t>Evals tab</t>
        </is>
      </c>
      <c r="C12" s="4" t="inlineStr">
        <is>
          <t>Benchmark run</t>
        </is>
      </c>
      <c r="D12" s="4" t="inlineStr">
        <is>
          <t>Open Evals tab</t>
        </is>
      </c>
      <c r="E12" s="4" t="inlineStr">
        <is>
          <t>Summary metrics and per-question results displayed without errors</t>
        </is>
      </c>
      <c r="F12" s="4" t="inlineStr">
        <is>
          <t>–</t>
        </is>
      </c>
      <c r="G12" s="4" t="inlineStr">
        <is>
          <t>Pass</t>
        </is>
      </c>
      <c r="H12" s="4" t="inlineStr">
        <is>
          <t>Playwright Evals tab</t>
        </is>
      </c>
      <c r="I12" s="4" t="inlineStr">
        <is>
          <t>2026-09-25</t>
        </is>
      </c>
    </row>
    <row r="13">
      <c r="A13" s="4" t="inlineStr">
        <is>
          <t>TC12</t>
        </is>
      </c>
      <c r="B13" s="4" t="inlineStr">
        <is>
          <t>Provider failure</t>
        </is>
      </c>
      <c r="C13" s="4" t="inlineStr">
        <is>
          <t>Set an invalid LLM_MODEL in .env</t>
        </is>
      </c>
      <c r="D13" s="4" t="inlineStr">
        <is>
          <t>Ask any question</t>
        </is>
      </c>
      <c r="E13" s="4" t="inlineStr">
        <is>
          <t>Status error with a readable message; app does not crash</t>
        </is>
      </c>
      <c r="F13" s="4" t="inlineStr">
        <is>
          <t>–</t>
        </is>
      </c>
      <c r="G13" s="4" t="inlineStr">
        <is>
          <t>Not run in v1.2</t>
        </is>
      </c>
      <c r="H13" s="4" t="inlineStr"/>
      <c r="I13" s="4" t="inlineStr"/>
    </row>
    <row r="14">
      <c r="A14" s="4" t="inlineStr">
        <is>
          <t>TC13</t>
        </is>
      </c>
      <c r="B14" s="4" t="inlineStr">
        <is>
          <t>Webhook duplicate</t>
        </is>
      </c>
      <c r="C14" s="4" t="inlineStr">
        <is>
          <t>Integrations service</t>
        </is>
      </c>
      <c r="D14" s="4" t="inlineStr">
        <is>
          <t>Post the same signed Razorpay event twice</t>
        </is>
      </c>
      <c r="E14" s="4" t="inlineStr">
        <is>
          <t>202 then 200 {"duplicate": true}; one event stored</t>
        </is>
      </c>
      <c r="F14" s="4" t="inlineStr">
        <is>
          <t>yes (03)</t>
        </is>
      </c>
      <c r="G14" s="4" t="inlineStr">
        <is>
          <t>Pass</t>
        </is>
      </c>
      <c r="H14" s="4" t="inlineStr">
        <is>
          <t>pytest integrations (03)</t>
        </is>
      </c>
      <c r="I14" s="4" t="inlineStr">
        <is>
          <t>2026-09-25</t>
        </is>
      </c>
    </row>
    <row r="15">
      <c r="A15" s="4" t="inlineStr">
        <is>
          <t>TC14</t>
        </is>
      </c>
      <c r="B15" s="4" t="inlineStr">
        <is>
          <t>Dead-letter replay</t>
        </is>
      </c>
      <c r="C15" s="4" t="inlineStr">
        <is>
          <t>Integrations service</t>
        </is>
      </c>
      <c r="D15" s="4" t="inlineStr">
        <is>
          <t>Force a handler error until dead-lettered; fix; replay_events --dead-letter</t>
        </is>
      </c>
      <c r="E15" s="4" t="inlineStr">
        <is>
          <t>Event processed; order state correct</t>
        </is>
      </c>
      <c r="F15" s="4" t="inlineStr">
        <is>
          <t>yes (08)</t>
        </is>
      </c>
      <c r="G15" s="4" t="inlineStr">
        <is>
          <t>Pass</t>
        </is>
      </c>
      <c r="H15" s="4" t="inlineStr">
        <is>
          <t>pytest integrations (08)</t>
        </is>
      </c>
      <c r="I15" s="4" t="inlineStr">
        <is>
          <t>2026-09-25</t>
        </is>
      </c>
    </row>
    <row r="16">
      <c r="A16" s="4" t="inlineStr">
        <is>
          <t>TC15</t>
        </is>
      </c>
      <c r="B16" s="4" t="inlineStr">
        <is>
          <t>Anomaly API</t>
        </is>
      </c>
      <c r="C16" s="4" t="inlineStr">
        <is>
          <t>API running</t>
        </is>
      </c>
      <c r="D16" s="4" t="inlineStr">
        <is>
          <t>GET /anomalies?dataset=olist_lab</t>
        </is>
      </c>
      <c r="E16" s="4" t="inlineStr">
        <is>
          <t>Includes 2018-08 canceled_rate spikes and 2017-11-24 order spike</t>
        </is>
      </c>
      <c r="F16" s="4" t="inlineStr">
        <is>
          <t>–</t>
        </is>
      </c>
      <c r="G16" s="4" t="inlineStr">
        <is>
          <t>Not run in v1.2</t>
        </is>
      </c>
      <c r="H16" s="4" t="inlineStr"/>
      <c r="I16" s="4" t="inlineStr"/>
    </row>
    <row r="17">
      <c r="A17" s="4" t="inlineStr">
        <is>
          <t>TC16</t>
        </is>
      </c>
      <c r="B17" s="4" t="inlineStr">
        <is>
          <t>Audit trail intact (v1.2)</t>
        </is>
      </c>
      <c r="C17" s="4" t="inlineStr">
        <is>
          <t>Some runs saved</t>
        </is>
      </c>
      <c r="D17" s="4" t="inlineStr">
        <is>
          <t>Open History tab</t>
        </is>
      </c>
      <c r="E17" s="4" t="inlineStr">
        <is>
          <t>Green banner "Audit trail intact: N hash-chained entries verified"</t>
        </is>
      </c>
      <c r="F17" s="4" t="inlineStr">
        <is>
          <t>Playwright test_history_tab_verifies_the_audit_trail; Postman 12</t>
        </is>
      </c>
      <c r="G17" s="4" t="inlineStr">
        <is>
          <t>Pass</t>
        </is>
      </c>
      <c r="H17" s="4" t="inlineStr">
        <is>
          <t>Playwright + Postman 12</t>
        </is>
      </c>
      <c r="I17" s="4" t="inlineStr">
        <is>
          <t>2026-09-25</t>
        </is>
      </c>
    </row>
    <row r="18">
      <c r="A18" s="4" t="inlineStr">
        <is>
          <t>TC17</t>
        </is>
      </c>
      <c r="B18" s="4" t="inlineStr">
        <is>
          <t>Tampering detected (v1.2)</t>
        </is>
      </c>
      <c r="C18" s="4" t="inlineStr">
        <is>
          <t>Run TC04; DB admin access</t>
        </is>
      </c>
      <c r="D18" s="4" t="inlineStr">
        <is>
          <t>In SQL, UPDATE rootcause_app.runs SET report = ... WHERE run_id = '&lt;id&gt;'; open History tab</t>
        </is>
      </c>
      <c r="E18" s="4" t="inlineStr">
        <is>
          <t>Red banner "Audit trail problem: 1 issue(s)"; the table names the run and "changed after they were recorded"</t>
        </is>
      </c>
      <c r="F18" s="4" t="inlineStr">
        <is>
          <t>tests/test_audit_log.py (7 cases)</t>
        </is>
      </c>
      <c r="G18" s="4" t="inlineStr">
        <is>
          <t>Pass</t>
        </is>
      </c>
      <c r="H18" s="4" t="inlineStr">
        <is>
          <t>pytest tests/test_audit_log.py (edit, delete, insert, log rewrite)</t>
        </is>
      </c>
      <c r="I18" s="4" t="inlineStr">
        <is>
          <t>2026-09-25</t>
        </is>
      </c>
    </row>
    <row r="19">
      <c r="A19" s="4" t="inlineStr">
        <is>
          <t>TC18</t>
        </is>
      </c>
      <c r="B19" s="4" t="inlineStr">
        <is>
          <t>Model recorded per answer (v1.2)</t>
        </is>
      </c>
      <c r="C19" s="4" t="inlineStr">
        <is>
          <t>Run TC04</t>
        </is>
      </c>
      <c r="D19" s="4" t="inlineStr">
        <is>
          <t>GET /runs/&lt;id&gt;; GET /audit/log?limit=2</t>
        </is>
      </c>
      <c r="E19" s="4" t="inlineStr">
        <is>
          <t>usage.models lists the model; the audit entry for the run carries the same model</t>
        </is>
      </c>
      <c r="F19" s="4" t="inlineStr">
        <is>
          <t>Postman 06, 11</t>
        </is>
      </c>
      <c r="G19" s="4" t="inlineStr">
        <is>
          <t>Pass</t>
        </is>
      </c>
      <c r="H19" s="4" t="inlineStr">
        <is>
          <t>Postman 06, 11</t>
        </is>
      </c>
      <c r="I19" s="4" t="inlineStr">
        <is>
          <t>2026-09-25</t>
        </is>
      </c>
    </row>
    <row r="20">
      <c r="A20" s="4" t="inlineStr">
        <is>
          <t>TC19</t>
        </is>
      </c>
      <c r="B20" s="4" t="inlineStr">
        <is>
          <t>Legacy runs baselined once (v1.2)</t>
        </is>
      </c>
      <c r="C20" s="4" t="inlineStr">
        <is>
          <t>Database with runs from before v1.2</t>
        </is>
      </c>
      <c r="D20" s="4" t="inlineStr">
        <is>
          <t>Start the app twice; GET /audit/log</t>
        </is>
      </c>
      <c r="E20" s="4" t="inlineStr">
        <is>
          <t>One run_baselined entry per legacy run, not two; /audit/verify intact</t>
        </is>
      </c>
      <c r="F20" s="4" t="inlineStr">
        <is>
          <t>test_runs_saved_before_the_audit_log_are_baselined_once</t>
        </is>
      </c>
      <c r="G20" s="4" t="inlineStr">
        <is>
          <t>Pass</t>
        </is>
      </c>
      <c r="H20" s="4" t="inlineStr">
        <is>
          <t>pytest + production DB: 64 runs baselined, intact</t>
        </is>
      </c>
      <c r="I20" s="4" t="inlineStr">
        <is>
          <t>2026-09-25</t>
        </is>
      </c>
    </row>
    <row r="21">
      <c r="A21" s="4" t="inlineStr">
        <is>
          <t>TC20</t>
        </is>
      </c>
      <c r="B21" s="4" t="inlineStr">
        <is>
          <t>Model change control (v1.2)</t>
        </is>
      </c>
      <c r="C21" s="4" t="inlineStr">
        <is>
          <t>New model id proposed</t>
        </is>
      </c>
      <c r="D21" s="4" t="inlineStr">
        <is>
          <t>Set LLM_MODEL; run python -m evals.run_evals; compare with thresholds in docs/gxp/04</t>
        </is>
      </c>
      <c r="E21" s="4" t="inlineStr">
        <is>
          <t>Accept only if SQL ≥ 95%, Hit@1 ≥ 85%, refusals 100%, unsupported numbers ≤ 2%</t>
        </is>
      </c>
      <c r="F21" s="4" t="inlineStr">
        <is>
          <t>Postman 13 checks the thresholds on the latest report</t>
        </is>
      </c>
      <c r="G21" s="4" t="inlineStr">
        <is>
          <t>Pass</t>
        </is>
      </c>
      <c r="H21" s="4" t="inlineStr">
        <is>
          <t>Postman 13 (latest report meets thresholds)</t>
        </is>
      </c>
      <c r="I21" s="4" t="inlineStr">
        <is>
          <t>2026-09-25</t>
        </is>
      </c>
    </row>
  </sheetData>
  <conditionalFormatting sqref="G2:G21">
    <cfRule type="cellIs" priority="1" operator="equal" dxfId="0">
      <formula>"Pass"</formula>
    </cfRule>
    <cfRule type="cellIs" priority="2" operator="equal" dxfId="1">
      <formula>"Fail"</formula>
    </cfRule>
    <cfRule type="expression" priority="3" dxfId="2">
      <formula>LEFT(G2,3)="Not"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9" customWidth="1" min="3" max="3"/>
    <col width="60" customWidth="1" min="4" max="4"/>
    <col width="16" customWidth="1" min="5" max="5"/>
  </cols>
  <sheetData>
    <row r="1">
      <c r="A1" t="inlineStr">
        <is>
          <t>Requirement</t>
        </is>
      </c>
      <c r="B1" t="inlineStr">
        <is>
          <t>Text</t>
        </is>
      </c>
      <c r="C1" t="inlineStr">
        <is>
          <t>Risk</t>
        </is>
      </c>
      <c r="D1" t="inlineStr">
        <is>
          <t>Verified by</t>
        </is>
      </c>
      <c r="E1" t="inlineStr">
        <is>
          <t>Status</t>
        </is>
      </c>
    </row>
    <row r="2">
      <c r="A2" s="4" t="inlineStr">
        <is>
          <t>GR-01</t>
        </is>
      </c>
      <c r="B2" s="4" t="inlineStr">
        <is>
          <t>Every number in an answer is supported by a stored query result</t>
        </is>
      </c>
      <c r="C2" s="4" t="inlineStr">
        <is>
          <t>R1</t>
        </is>
      </c>
      <c r="D2" s="4" t="inlineStr">
        <is>
          <t>test_invented_number_is_flagged, test_hallucinated_number_in_answer_is_flagged, benchmark</t>
        </is>
      </c>
      <c r="E2" s="4" t="inlineStr">
        <is>
          <t>Pass</t>
        </is>
      </c>
    </row>
    <row r="3">
      <c r="A3" s="4" t="inlineStr">
        <is>
          <t>GR-02</t>
        </is>
      </c>
      <c r="B3" s="4" t="inlineStr">
        <is>
          <t>The system cannot change source data</t>
        </is>
      </c>
      <c r="C3" s="4" t="inlineStr">
        <is>
          <t>R3</t>
        </is>
      </c>
      <c r="D3" s="4" t="inlineStr">
        <is>
          <t>test_unsafe_queries_are_rejected, read-only role write test</t>
        </is>
      </c>
      <c r="E3" s="4" t="inlineStr">
        <is>
          <t>Pass</t>
        </is>
      </c>
    </row>
    <row r="4">
      <c r="A4" s="4" t="inlineStr">
        <is>
          <t>GR-03</t>
        </is>
      </c>
      <c r="B4" s="4" t="inlineStr">
        <is>
          <t>Data-quality problems are reported before business causes</t>
        </is>
      </c>
      <c r="C4" s="4" t="inlineStr">
        <is>
          <t>R4</t>
        </is>
      </c>
      <c r="D4" s="4" t="inlineStr">
        <is>
          <t>test_duplicate_payment_rows_are_reported_as_data_quality_issue, rc13–rc15</t>
        </is>
      </c>
      <c r="E4" s="4" t="inlineStr">
        <is>
          <t>Pass</t>
        </is>
      </c>
    </row>
    <row r="5">
      <c r="A5" s="4" t="inlineStr">
        <is>
          <t>GR-04</t>
        </is>
      </c>
      <c r="B5" s="4" t="inlineStr">
        <is>
          <t>Unanswerable questions are refused without running queries</t>
        </is>
      </c>
      <c r="C5" s="4" t="inlineStr">
        <is>
          <t>R5</t>
        </is>
      </c>
      <c r="D5" s="4" t="inlineStr">
        <is>
          <t>test_unanswerable_question_is_refused_without_queries, rf01–rf05</t>
        </is>
      </c>
      <c r="E5" s="4" t="inlineStr">
        <is>
          <t>Pass</t>
        </is>
      </c>
    </row>
    <row r="6">
      <c r="A6" s="4" t="inlineStr">
        <is>
          <t>GR-05</t>
        </is>
      </c>
      <c r="B6" s="4" t="inlineStr">
        <is>
          <t>Every stored answer is tamper-evident: edits, deletions and insertions outside the app are detected</t>
        </is>
      </c>
      <c r="C6" s="4" t="inlineStr">
        <is>
          <t>R6</t>
        </is>
      </c>
      <c r="D6" s="4" t="inlineStr">
        <is>
          <t>tests/test_audit_log.py (7 tests) + Postman Audit verify</t>
        </is>
      </c>
      <c r="E6" s="4" t="inlineStr">
        <is>
          <t>Pass</t>
        </is>
      </c>
    </row>
    <row r="7">
      <c r="A7" s="4" t="inlineStr">
        <is>
          <t>GR-06</t>
        </is>
      </c>
      <c r="B7" s="4" t="inlineStr">
        <is>
          <t>Each answer records the model that produced it</t>
        </is>
      </c>
      <c r="C7" s="4" t="inlineStr">
        <is>
          <t>R7, R8</t>
        </is>
      </c>
      <c r="D7" s="4" t="inlineStr">
        <is>
          <t>test_untouched_trail_verifies_and_records_the_model</t>
        </is>
      </c>
      <c r="E7" s="4" t="inlineStr">
        <is>
          <t>Pass</t>
        </is>
      </c>
    </row>
    <row r="8">
      <c r="A8" s="4" t="inlineStr">
        <is>
          <t>GR-07</t>
        </is>
      </c>
      <c r="B8" s="4" t="inlineStr">
        <is>
          <t>Answers existing before the audit log are baselined once and then protected</t>
        </is>
      </c>
      <c r="C8" s="4" t="inlineStr">
        <is>
          <t>R6</t>
        </is>
      </c>
      <c r="D8" s="4" t="inlineStr">
        <is>
          <t>test_runs_saved_before_the_audit_log_are_baselined_once; production database: 64 runs baselined, chain intact</t>
        </is>
      </c>
      <c r="E8" s="4" t="inlineStr">
        <is>
          <t>Pass</t>
        </is>
      </c>
    </row>
    <row r="9">
      <c r="A9" s="4" t="inlineStr">
        <is>
          <t>GR-08</t>
        </is>
      </c>
      <c r="B9" s="4" t="inlineStr">
        <is>
          <t>A model change is accepted only if the benchmark meets the acceptance criteria</t>
        </is>
      </c>
      <c r="C9" s="4" t="inlineStr">
        <is>
          <t>R7</t>
        </is>
      </c>
      <c r="D9" s="4" t="inlineStr">
        <is>
          <t>Change-control procedure below; evals/reports/latest.json records the model</t>
        </is>
      </c>
      <c r="E9" s="4" t="inlineStr">
        <is>
          <t>Procedure defined</t>
        </is>
      </c>
    </row>
    <row r="10">
      <c r="A10" s="4" t="inlineStr">
        <is>
          <t>GR-09</t>
        </is>
      </c>
      <c r="B10" s="4" t="inlineStr">
        <is>
          <t>Each question is attributable to a named user</t>
        </is>
      </c>
      <c r="C10" s="4" t="inlineStr">
        <is>
          <t>R8</t>
        </is>
      </c>
      <c r="D10" s="4" t="inlineStr">
        <is>
          <t>Not implemented</t>
        </is>
      </c>
      <c r="E10" s="4" t="inlineStr">
        <is>
          <t>**Open (G1)**</t>
        </is>
      </c>
    </row>
  </sheetData>
  <conditionalFormatting sqref="E2:E10">
    <cfRule type="expression" priority="1" dxfId="0">
      <formula>LEFT(E2,4)="Pass"</formula>
    </cfRule>
    <cfRule type="expression" priority="2" dxfId="1">
      <formula>ISNUMBER(SEARCH("Open",E2))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2" customWidth="1" min="3" max="3"/>
    <col width="5" customWidth="1" min="4" max="4"/>
    <col width="5" customWidth="1" min="5" max="5"/>
    <col width="5" customWidth="1" min="6" max="6"/>
    <col width="7" customWidth="1" min="7" max="7"/>
    <col width="45" customWidth="1" min="8" max="8"/>
    <col width="45" customWidth="1" min="9" max="9"/>
  </cols>
  <sheetData>
    <row r="1">
      <c r="A1" t="inlineStr">
        <is>
          <t>#</t>
        </is>
      </c>
      <c r="B1" t="inlineStr">
        <is>
          <t>Hazard</t>
        </is>
      </c>
      <c r="C1" t="inlineStr">
        <is>
          <t>Effect</t>
        </is>
      </c>
      <c r="D1" t="inlineStr">
        <is>
          <t>S</t>
        </is>
      </c>
      <c r="E1" t="inlineStr">
        <is>
          <t>P</t>
        </is>
      </c>
      <c r="F1" t="inlineStr">
        <is>
          <t>D</t>
        </is>
      </c>
      <c r="G1" t="inlineStr">
        <is>
          <t>RPN</t>
        </is>
      </c>
      <c r="H1" t="inlineStr">
        <is>
          <t>Control</t>
        </is>
      </c>
      <c r="I1" t="inlineStr">
        <is>
          <t>Evidence</t>
        </is>
      </c>
    </row>
    <row r="2">
      <c r="A2" s="4" t="inlineStr">
        <is>
          <t>R1</t>
        </is>
      </c>
      <c r="B2" s="4" t="inlineStr">
        <is>
          <t>LLM invents a number</t>
        </is>
      </c>
      <c r="C2" s="4" t="inlineStr">
        <is>
          <t>Investigation chases a change that doesn't exist</t>
        </is>
      </c>
      <c r="D2" s="4" t="n">
        <v>3</v>
      </c>
      <c r="E2" s="4" t="n">
        <v>2</v>
      </c>
      <c r="F2" s="4" t="n">
        <v>3</v>
      </c>
      <c r="G2" s="4">
        <f>D2*E2*F2</f>
        <v/>
      </c>
      <c r="H2" s="4" t="inlineStr">
        <is>
          <t>Grounding check: every number in the answer must appear in query results, else flagged and shown as a warning</t>
        </is>
      </c>
      <c r="I2" s="4" t="inlineStr">
        <is>
          <t>test_invented_number_is_flagged, test_hallucinated_number_in_answer_is_flagged; benchmark: 0% unsupported numbers (50 questions)</t>
        </is>
      </c>
    </row>
    <row r="3">
      <c r="A3" s="4" t="inlineStr">
        <is>
          <t>R2</t>
        </is>
      </c>
      <c r="B3" s="4" t="inlineStr">
        <is>
          <t>Wrong SQL gives a wrong number</t>
        </is>
      </c>
      <c r="C3" s="4" t="inlineStr">
        <is>
          <t>Wrong conclusion that looks well-supported</t>
        </is>
      </c>
      <c r="D3" s="4" t="n">
        <v>3</v>
      </c>
      <c r="E3" s="4" t="n">
        <v>2</v>
      </c>
      <c r="F3" s="4" t="n">
        <v>2</v>
      </c>
      <c r="G3" s="4">
        <f>D3*E3*F3</f>
        <v/>
      </c>
      <c r="H3" s="4" t="inlineStr">
        <is>
          <t>Metrics come from a reviewed semantic layer, not free-form SQL; SQL errors are retried with the error; every number cites its query id</t>
        </is>
      </c>
      <c r="I3" s="4" t="inlineStr">
        <is>
          <t>test_bad_metric_sql_is_retried_with_the_error_message; benchmark SQL accuracy 100%</t>
        </is>
      </c>
    </row>
    <row r="4">
      <c r="A4" s="4" t="inlineStr">
        <is>
          <t>R3</t>
        </is>
      </c>
      <c r="B4" s="4" t="inlineStr">
        <is>
          <t>Agent modifies GxP data</t>
        </is>
      </c>
      <c r="C4" s="4" t="inlineStr">
        <is>
          <t>Loss of data integrity in the source</t>
        </is>
      </c>
      <c r="D4" s="4" t="n">
        <v>3</v>
      </c>
      <c r="E4" s="4" t="n">
        <v>1</v>
      </c>
      <c r="F4" s="4" t="n">
        <v>3</v>
      </c>
      <c r="G4" s="4">
        <f>D4*E4*F4</f>
        <v/>
      </c>
      <c r="H4" s="4" t="inlineStr">
        <is>
          <t>SQL validator (SELECT only, schema allow-list, CTE checks) + read-only database role (second, independent layer)</t>
        </is>
      </c>
      <c r="I4" s="4" t="inlineStr">
        <is>
          <t>test_unsafe_queries_are_rejected (DELETE, DROP, CTE-hidden DELETE, pg_sleep); read-only role write test</t>
        </is>
      </c>
    </row>
    <row r="5">
      <c r="A5" s="4" t="inlineStr">
        <is>
          <t>R4</t>
        </is>
      </c>
      <c r="B5" s="4" t="inlineStr">
        <is>
          <t>A data bug is reported as a real business change</t>
        </is>
      </c>
      <c r="C5" s="4" t="inlineStr">
        <is>
          <t>Wrong root cause (e.g. duplicated records read as a real spike)</t>
        </is>
      </c>
      <c r="D5" s="4" t="n">
        <v>3</v>
      </c>
      <c r="E5" s="4" t="n">
        <v>2</v>
      </c>
      <c r="F5" s="4" t="n">
        <v>2</v>
      </c>
      <c r="G5" s="4">
        <f>D5*E5*F5</f>
        <v/>
      </c>
      <c r="H5" s="4" t="inlineStr">
        <is>
          <t>Data-quality checks (duplicate rates) run before blaming the process</t>
        </is>
      </c>
      <c r="I5" s="4" t="inlineStr">
        <is>
          <t>test_duplicate_payment_rows_are_reported_as_data_quality_issue; benchmark rc13–rc15</t>
        </is>
      </c>
    </row>
    <row r="6">
      <c r="A6" s="4" t="inlineStr">
        <is>
          <t>R5</t>
        </is>
      </c>
      <c r="B6" s="4" t="inlineStr">
        <is>
          <t>Answers a question the data can't answer</t>
        </is>
      </c>
      <c r="C6" s="4" t="inlineStr">
        <is>
          <t>False confidence</t>
        </is>
      </c>
      <c r="D6" s="4" t="n">
        <v>2</v>
      </c>
      <c r="E6" s="4" t="n">
        <v>2</v>
      </c>
      <c r="F6" s="4" t="n">
        <v>2</v>
      </c>
      <c r="G6" s="4">
        <f>D6*E6*F6</f>
        <v/>
      </c>
      <c r="H6" s="4" t="inlineStr">
        <is>
          <t>Router refuses unanswerable questions; no queries run</t>
        </is>
      </c>
      <c r="I6" s="4" t="inlineStr">
        <is>
          <t>test_unanswerable_question_is_refused_without_queries; benchmark 100% correct refusals</t>
        </is>
      </c>
    </row>
    <row r="7">
      <c r="A7" s="4" t="inlineStr">
        <is>
          <t>R6</t>
        </is>
      </c>
      <c r="B7" s="4" t="inlineStr">
        <is>
          <t>Stored answer or its SQL is edited later</t>
        </is>
      </c>
      <c r="C7" s="4" t="inlineStr">
        <is>
          <t>Evidence in an investigation no longer matches what was shown</t>
        </is>
      </c>
      <c r="D7" s="4" t="n">
        <v>3</v>
      </c>
      <c r="E7" s="4" t="n">
        <v>1</v>
      </c>
      <c r="F7" s="4" t="n">
        <v>3</v>
      </c>
      <c r="G7" s="4">
        <f>D7*E7*F7</f>
        <v/>
      </c>
      <c r="H7" s="4" t="inlineStr">
        <is>
          <t>**v1.2:** hash-chained audit log + re-read of every run on verification</t>
        </is>
      </c>
      <c r="I7" s="4" t="inlineStr">
        <is>
          <t>tests/test_audit_log.py (7 tests: edited answer, edited SQL, deleted run, rewritten or removed log entry, run inserted outside the app)</t>
        </is>
      </c>
    </row>
    <row r="8">
      <c r="A8" s="4" t="inlineStr">
        <is>
          <t>R7</t>
        </is>
      </c>
      <c r="B8" s="4" t="inlineStr">
        <is>
          <t>Provider silently changes the model</t>
        </is>
      </c>
      <c r="C8" s="4" t="inlineStr">
        <is>
          <t>Accuracy drops with no code change</t>
        </is>
      </c>
      <c r="D8" s="4" t="n">
        <v>3</v>
      </c>
      <c r="E8" s="4" t="n">
        <v>2</v>
      </c>
      <c r="F8" s="4" t="n">
        <v>3</v>
      </c>
      <c r="G8" s="4">
        <f>D8*E8*F8</f>
        <v/>
      </c>
      <c r="H8" s="4" t="inlineStr">
        <is>
          <t>Model pinned in config; model recorded per answer; **change control: benchmark must pass before a new model is accepted**</t>
        </is>
      </c>
      <c r="I8" s="4" t="inlineStr">
        <is>
          <t>evals/reports/latest.json records the model; procedure in 04</t>
        </is>
      </c>
    </row>
    <row r="9">
      <c r="A9" s="4" t="inlineStr">
        <is>
          <t>R8</t>
        </is>
      </c>
      <c r="B9" s="4" t="inlineStr">
        <is>
          <t>Answer cannot be attributed (who asked, which model, when)</t>
        </is>
      </c>
      <c r="C9" s="4" t="inlineStr">
        <is>
          <t>Fails ALCOA+ *Attributable*</t>
        </is>
      </c>
      <c r="D9" s="4" t="n">
        <v>2</v>
      </c>
      <c r="E9" s="4" t="n">
        <v>2</v>
      </c>
      <c r="F9" s="4" t="n">
        <v>2</v>
      </c>
      <c r="G9" s="4">
        <f>D9*E9*F9</f>
        <v/>
      </c>
      <c r="H9" s="4" t="inlineStr">
        <is>
          <t>Run stores question, time (UTC), model; v1.2 audit log. **Gap:** no user identity yet (single-user demo)</t>
        </is>
      </c>
      <c r="I9" s="4" t="inlineStr">
        <is>
          <t>Open item G1 below</t>
        </is>
      </c>
    </row>
    <row r="10">
      <c r="A10" s="4" t="inlineStr">
        <is>
          <t>R9</t>
        </is>
      </c>
      <c r="B10" s="4" t="inlineStr">
        <is>
          <t>Prompt injection through retrieved documents</t>
        </is>
      </c>
      <c r="C10" s="4" t="inlineStr">
        <is>
          <t>Agent follows instructions hidden in a document</t>
        </is>
      </c>
      <c r="D10" s="4" t="n">
        <v>2</v>
      </c>
      <c r="E10" s="4" t="n">
        <v>1</v>
      </c>
      <c r="F10" s="4" t="n">
        <v>3</v>
      </c>
      <c r="G10" s="4">
        <f>D10*E10*F10</f>
        <v/>
      </c>
      <c r="H10" s="4" t="inlineStr">
        <is>
          <t>Documents are only cited as context; the agent can only run validated SELECTs, so the worst case is a wrong *candidate*, caught by review</t>
        </is>
      </c>
      <c r="I10" s="4" t="inlineStr">
        <is>
          <t>SQL validator tests; human review (intended use)</t>
        </is>
      </c>
    </row>
  </sheetData>
  <conditionalFormatting sqref="G2:G10">
    <cfRule type="cellIs" priority="1" operator="greaterThanOrEqual" dxfId="1">
      <formula>12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t="inlineStr">
        <is>
          <t>Question</t>
        </is>
      </c>
      <c r="B1" t="inlineStr">
        <is>
          <t>Category</t>
        </is>
      </c>
      <c r="C1" t="inlineStr">
        <is>
          <t>Status</t>
        </is>
      </c>
      <c r="D1" t="inlineStr">
        <is>
          <t>Pass</t>
        </is>
      </c>
      <c r="E1" t="inlineStr">
        <is>
          <t>Hit@3</t>
        </is>
      </c>
      <c r="F1" t="inlineStr">
        <is>
          <t>Seconds</t>
        </is>
      </c>
      <c r="G1" t="inlineStr">
        <is>
          <t>Cost USD</t>
        </is>
      </c>
      <c r="H1" t="inlineStr">
        <is>
          <t>LLM calls</t>
        </is>
      </c>
      <c r="I1" t="inlineStr">
        <is>
          <t>SQL errors</t>
        </is>
      </c>
      <c r="J1" t="inlineStr">
        <is>
          <t>Unsupported numbers</t>
        </is>
      </c>
    </row>
    <row r="2">
      <c r="A2" s="4" t="inlineStr">
        <is>
          <t>sql01</t>
        </is>
      </c>
      <c r="B2" s="4" t="inlineStr">
        <is>
          <t>sql</t>
        </is>
      </c>
      <c r="C2" s="4" t="inlineStr">
        <is>
          <t>ok</t>
        </is>
      </c>
      <c r="D2" s="4" t="b">
        <v>1</v>
      </c>
      <c r="E2" s="4" t="inlineStr"/>
      <c r="F2" s="4" t="n">
        <v>127.16</v>
      </c>
      <c r="G2" s="4" t="n">
        <v>0.002582</v>
      </c>
      <c r="H2" s="4" t="n">
        <v>3</v>
      </c>
      <c r="I2" s="4" t="n">
        <v>0</v>
      </c>
      <c r="J2" s="4" t="n">
        <v>0</v>
      </c>
    </row>
    <row r="3">
      <c r="A3" s="4" t="inlineStr">
        <is>
          <t>sql02</t>
        </is>
      </c>
      <c r="B3" s="4" t="inlineStr">
        <is>
          <t>sql</t>
        </is>
      </c>
      <c r="C3" s="4" t="inlineStr">
        <is>
          <t>ok</t>
        </is>
      </c>
      <c r="D3" s="4" t="b">
        <v>1</v>
      </c>
      <c r="E3" s="4" t="inlineStr"/>
      <c r="F3" s="4" t="n">
        <v>89.69</v>
      </c>
      <c r="G3" s="4" t="n">
        <v>0.00279</v>
      </c>
      <c r="H3" s="4" t="n">
        <v>3</v>
      </c>
      <c r="I3" s="4" t="n">
        <v>0</v>
      </c>
      <c r="J3" s="4" t="n">
        <v>0</v>
      </c>
    </row>
    <row r="4">
      <c r="A4" s="4" t="inlineStr">
        <is>
          <t>sql03</t>
        </is>
      </c>
      <c r="B4" s="4" t="inlineStr">
        <is>
          <t>sql</t>
        </is>
      </c>
      <c r="C4" s="4" t="inlineStr">
        <is>
          <t>ok</t>
        </is>
      </c>
      <c r="D4" s="4" t="b">
        <v>1</v>
      </c>
      <c r="E4" s="4" t="inlineStr"/>
      <c r="F4" s="4" t="n">
        <v>247.59</v>
      </c>
      <c r="G4" s="4" t="n">
        <v>0.002683</v>
      </c>
      <c r="H4" s="4" t="n">
        <v>3</v>
      </c>
      <c r="I4" s="4" t="n">
        <v>0</v>
      </c>
      <c r="J4" s="4" t="n">
        <v>0</v>
      </c>
    </row>
    <row r="5">
      <c r="A5" s="4" t="inlineStr">
        <is>
          <t>sql04</t>
        </is>
      </c>
      <c r="B5" s="4" t="inlineStr">
        <is>
          <t>sql</t>
        </is>
      </c>
      <c r="C5" s="4" t="inlineStr">
        <is>
          <t>ok</t>
        </is>
      </c>
      <c r="D5" s="4" t="b">
        <v>1</v>
      </c>
      <c r="E5" s="4" t="inlineStr"/>
      <c r="F5" s="4" t="n">
        <v>151.37</v>
      </c>
      <c r="G5" s="4" t="n">
        <v>0.00257</v>
      </c>
      <c r="H5" s="4" t="n">
        <v>3</v>
      </c>
      <c r="I5" s="4" t="n">
        <v>0</v>
      </c>
      <c r="J5" s="4" t="n">
        <v>0</v>
      </c>
    </row>
    <row r="6">
      <c r="A6" s="4" t="inlineStr">
        <is>
          <t>sql05</t>
        </is>
      </c>
      <c r="B6" s="4" t="inlineStr">
        <is>
          <t>sql</t>
        </is>
      </c>
      <c r="C6" s="4" t="inlineStr">
        <is>
          <t>ok</t>
        </is>
      </c>
      <c r="D6" s="4" t="b">
        <v>1</v>
      </c>
      <c r="E6" s="4" t="inlineStr"/>
      <c r="F6" s="4" t="n">
        <v>146.59</v>
      </c>
      <c r="G6" s="4" t="n">
        <v>0.003141</v>
      </c>
      <c r="H6" s="4" t="n">
        <v>3</v>
      </c>
      <c r="I6" s="4" t="n">
        <v>0</v>
      </c>
      <c r="J6" s="4" t="n">
        <v>0</v>
      </c>
    </row>
    <row r="7">
      <c r="A7" s="4" t="inlineStr">
        <is>
          <t>sql06</t>
        </is>
      </c>
      <c r="B7" s="4" t="inlineStr">
        <is>
          <t>sql</t>
        </is>
      </c>
      <c r="C7" s="4" t="inlineStr">
        <is>
          <t>ok</t>
        </is>
      </c>
      <c r="D7" s="4" t="b">
        <v>1</v>
      </c>
      <c r="E7" s="4" t="inlineStr"/>
      <c r="F7" s="4" t="n">
        <v>140.46</v>
      </c>
      <c r="G7" s="4" t="n">
        <v>0.003123</v>
      </c>
      <c r="H7" s="4" t="n">
        <v>3</v>
      </c>
      <c r="I7" s="4" t="n">
        <v>0</v>
      </c>
      <c r="J7" s="4" t="n">
        <v>0</v>
      </c>
    </row>
    <row r="8">
      <c r="A8" s="4" t="inlineStr">
        <is>
          <t>sql07</t>
        </is>
      </c>
      <c r="B8" s="4" t="inlineStr">
        <is>
          <t>sql</t>
        </is>
      </c>
      <c r="C8" s="4" t="inlineStr">
        <is>
          <t>ok</t>
        </is>
      </c>
      <c r="D8" s="4" t="b">
        <v>1</v>
      </c>
      <c r="E8" s="4" t="inlineStr"/>
      <c r="F8" s="4" t="n">
        <v>126.66</v>
      </c>
      <c r="G8" s="4" t="n">
        <v>0.003076</v>
      </c>
      <c r="H8" s="4" t="n">
        <v>3</v>
      </c>
      <c r="I8" s="4" t="n">
        <v>0</v>
      </c>
      <c r="J8" s="4" t="n">
        <v>0</v>
      </c>
    </row>
    <row r="9">
      <c r="A9" s="4" t="inlineStr">
        <is>
          <t>sql08</t>
        </is>
      </c>
      <c r="B9" s="4" t="inlineStr">
        <is>
          <t>sql</t>
        </is>
      </c>
      <c r="C9" s="4" t="inlineStr">
        <is>
          <t>ok</t>
        </is>
      </c>
      <c r="D9" s="4" t="b">
        <v>1</v>
      </c>
      <c r="E9" s="4" t="inlineStr"/>
      <c r="F9" s="4" t="n">
        <v>186.67</v>
      </c>
      <c r="G9" s="4" t="n">
        <v>0.004287</v>
      </c>
      <c r="H9" s="4" t="n">
        <v>3</v>
      </c>
      <c r="I9" s="4" t="n">
        <v>0</v>
      </c>
      <c r="J9" s="4" t="n">
        <v>0</v>
      </c>
    </row>
    <row r="10">
      <c r="A10" s="4" t="inlineStr">
        <is>
          <t>sql09</t>
        </is>
      </c>
      <c r="B10" s="4" t="inlineStr">
        <is>
          <t>sql</t>
        </is>
      </c>
      <c r="C10" s="4" t="inlineStr">
        <is>
          <t>ok</t>
        </is>
      </c>
      <c r="D10" s="4" t="b">
        <v>1</v>
      </c>
      <c r="E10" s="4" t="inlineStr"/>
      <c r="F10" s="4" t="n">
        <v>117.99</v>
      </c>
      <c r="G10" s="4" t="n">
        <v>0.004666</v>
      </c>
      <c r="H10" s="4" t="n">
        <v>3</v>
      </c>
      <c r="I10" s="4" t="n">
        <v>0</v>
      </c>
      <c r="J10" s="4" t="n">
        <v>0</v>
      </c>
    </row>
    <row r="11">
      <c r="A11" s="4" t="inlineStr">
        <is>
          <t>sql10</t>
        </is>
      </c>
      <c r="B11" s="4" t="inlineStr">
        <is>
          <t>sql</t>
        </is>
      </c>
      <c r="C11" s="4" t="inlineStr">
        <is>
          <t>ok</t>
        </is>
      </c>
      <c r="D11" s="4" t="b">
        <v>1</v>
      </c>
      <c r="E11" s="4" t="inlineStr"/>
      <c r="F11" s="4" t="n">
        <v>86.70999999999999</v>
      </c>
      <c r="G11" s="4" t="n">
        <v>0.003139</v>
      </c>
      <c r="H11" s="4" t="n">
        <v>3</v>
      </c>
      <c r="I11" s="4" t="n">
        <v>0</v>
      </c>
      <c r="J11" s="4" t="n">
        <v>0</v>
      </c>
    </row>
    <row r="12">
      <c r="A12" s="4" t="inlineStr">
        <is>
          <t>sql11</t>
        </is>
      </c>
      <c r="B12" s="4" t="inlineStr">
        <is>
          <t>sql</t>
        </is>
      </c>
      <c r="C12" s="4" t="inlineStr">
        <is>
          <t>ok</t>
        </is>
      </c>
      <c r="D12" s="4" t="b">
        <v>1</v>
      </c>
      <c r="E12" s="4" t="inlineStr"/>
      <c r="F12" s="4" t="n">
        <v>92.59</v>
      </c>
      <c r="G12" s="4" t="n">
        <v>0.00315</v>
      </c>
      <c r="H12" s="4" t="n">
        <v>3</v>
      </c>
      <c r="I12" s="4" t="n">
        <v>0</v>
      </c>
      <c r="J12" s="4" t="n">
        <v>0</v>
      </c>
    </row>
    <row r="13">
      <c r="A13" s="4" t="inlineStr">
        <is>
          <t>sql12</t>
        </is>
      </c>
      <c r="B13" s="4" t="inlineStr">
        <is>
          <t>sql</t>
        </is>
      </c>
      <c r="C13" s="4" t="inlineStr">
        <is>
          <t>ok</t>
        </is>
      </c>
      <c r="D13" s="4" t="b">
        <v>1</v>
      </c>
      <c r="E13" s="4" t="inlineStr"/>
      <c r="F13" s="4" t="n">
        <v>121.11</v>
      </c>
      <c r="G13" s="4" t="n">
        <v>0.005434</v>
      </c>
      <c r="H13" s="4" t="n">
        <v>3</v>
      </c>
      <c r="I13" s="4" t="n">
        <v>0</v>
      </c>
      <c r="J13" s="4" t="n">
        <v>0</v>
      </c>
    </row>
    <row r="14">
      <c r="A14" s="4" t="inlineStr">
        <is>
          <t>sql13</t>
        </is>
      </c>
      <c r="B14" s="4" t="inlineStr">
        <is>
          <t>sql</t>
        </is>
      </c>
      <c r="C14" s="4" t="inlineStr">
        <is>
          <t>ok</t>
        </is>
      </c>
      <c r="D14" s="4" t="b">
        <v>1</v>
      </c>
      <c r="E14" s="4" t="inlineStr"/>
      <c r="F14" s="4" t="n">
        <v>122.58</v>
      </c>
      <c r="G14" s="4" t="n">
        <v>0.003317</v>
      </c>
      <c r="H14" s="4" t="n">
        <v>3</v>
      </c>
      <c r="I14" s="4" t="n">
        <v>0</v>
      </c>
      <c r="J14" s="4" t="n">
        <v>0</v>
      </c>
    </row>
    <row r="15">
      <c r="A15" s="4" t="inlineStr">
        <is>
          <t>sql16</t>
        </is>
      </c>
      <c r="B15" s="4" t="inlineStr">
        <is>
          <t>sql</t>
        </is>
      </c>
      <c r="C15" s="4" t="inlineStr">
        <is>
          <t>ok</t>
        </is>
      </c>
      <c r="D15" s="4" t="b">
        <v>1</v>
      </c>
      <c r="E15" s="4" t="inlineStr"/>
      <c r="F15" s="4" t="n">
        <v>21.6</v>
      </c>
      <c r="G15" s="4" t="n">
        <v>0.004837</v>
      </c>
      <c r="H15" s="4" t="n">
        <v>3</v>
      </c>
      <c r="I15" s="4" t="n">
        <v>0</v>
      </c>
      <c r="J15" s="4" t="n">
        <v>0</v>
      </c>
    </row>
    <row r="16">
      <c r="A16" s="4" t="inlineStr">
        <is>
          <t>sql17</t>
        </is>
      </c>
      <c r="B16" s="4" t="inlineStr">
        <is>
          <t>sql</t>
        </is>
      </c>
      <c r="C16" s="4" t="inlineStr">
        <is>
          <t>ok</t>
        </is>
      </c>
      <c r="D16" s="4" t="b">
        <v>1</v>
      </c>
      <c r="E16" s="4" t="inlineStr"/>
      <c r="F16" s="4" t="n">
        <v>22.2</v>
      </c>
      <c r="G16" s="4" t="n">
        <v>0.0028</v>
      </c>
      <c r="H16" s="4" t="n">
        <v>3</v>
      </c>
      <c r="I16" s="4" t="n">
        <v>0</v>
      </c>
      <c r="J16" s="4" t="n">
        <v>0</v>
      </c>
    </row>
    <row r="17">
      <c r="A17" s="4" t="inlineStr">
        <is>
          <t>sql18</t>
        </is>
      </c>
      <c r="B17" s="4" t="inlineStr">
        <is>
          <t>sql</t>
        </is>
      </c>
      <c r="C17" s="4" t="inlineStr">
        <is>
          <t>ok</t>
        </is>
      </c>
      <c r="D17" s="4" t="b">
        <v>1</v>
      </c>
      <c r="E17" s="4" t="inlineStr"/>
      <c r="F17" s="4" t="n">
        <v>16.15</v>
      </c>
      <c r="G17" s="4" t="n">
        <v>0.002896</v>
      </c>
      <c r="H17" s="4" t="n">
        <v>3</v>
      </c>
      <c r="I17" s="4" t="n">
        <v>0</v>
      </c>
      <c r="J17" s="4" t="n">
        <v>0</v>
      </c>
    </row>
    <row r="18">
      <c r="A18" s="4" t="inlineStr">
        <is>
          <t>sql19</t>
        </is>
      </c>
      <c r="B18" s="4" t="inlineStr">
        <is>
          <t>sql</t>
        </is>
      </c>
      <c r="C18" s="4" t="inlineStr">
        <is>
          <t>ok</t>
        </is>
      </c>
      <c r="D18" s="4" t="b">
        <v>1</v>
      </c>
      <c r="E18" s="4" t="inlineStr"/>
      <c r="F18" s="4" t="n">
        <v>13.6</v>
      </c>
      <c r="G18" s="4" t="n">
        <v>0.002721</v>
      </c>
      <c r="H18" s="4" t="n">
        <v>3</v>
      </c>
      <c r="I18" s="4" t="n">
        <v>0</v>
      </c>
      <c r="J18" s="4" t="n">
        <v>0</v>
      </c>
    </row>
    <row r="19">
      <c r="A19" s="4" t="inlineStr">
        <is>
          <t>sql20</t>
        </is>
      </c>
      <c r="B19" s="4" t="inlineStr">
        <is>
          <t>sql</t>
        </is>
      </c>
      <c r="C19" s="4" t="inlineStr">
        <is>
          <t>ok</t>
        </is>
      </c>
      <c r="D19" s="4" t="b">
        <v>1</v>
      </c>
      <c r="E19" s="4" t="inlineStr"/>
      <c r="F19" s="4" t="n">
        <v>17.23</v>
      </c>
      <c r="G19" s="4" t="n">
        <v>0.004008</v>
      </c>
      <c r="H19" s="4" t="n">
        <v>3</v>
      </c>
      <c r="I19" s="4" t="n">
        <v>0</v>
      </c>
      <c r="J19" s="4" t="n">
        <v>0</v>
      </c>
    </row>
    <row r="20">
      <c r="A20" s="4" t="inlineStr">
        <is>
          <t>sql21</t>
        </is>
      </c>
      <c r="B20" s="4" t="inlineStr">
        <is>
          <t>sql</t>
        </is>
      </c>
      <c r="C20" s="4" t="inlineStr">
        <is>
          <t>ok</t>
        </is>
      </c>
      <c r="D20" s="4" t="b">
        <v>1</v>
      </c>
      <c r="E20" s="4" t="inlineStr"/>
      <c r="F20" s="4" t="n">
        <v>17.49</v>
      </c>
      <c r="G20" s="4" t="n">
        <v>0.004627</v>
      </c>
      <c r="H20" s="4" t="n">
        <v>3</v>
      </c>
      <c r="I20" s="4" t="n">
        <v>0</v>
      </c>
      <c r="J20" s="4" t="n">
        <v>0</v>
      </c>
    </row>
    <row r="21">
      <c r="A21" s="4" t="inlineStr">
        <is>
          <t>sql22</t>
        </is>
      </c>
      <c r="B21" s="4" t="inlineStr">
        <is>
          <t>sql</t>
        </is>
      </c>
      <c r="C21" s="4" t="inlineStr">
        <is>
          <t>ok</t>
        </is>
      </c>
      <c r="D21" s="4" t="b">
        <v>1</v>
      </c>
      <c r="E21" s="4" t="inlineStr"/>
      <c r="F21" s="4" t="n">
        <v>14.95</v>
      </c>
      <c r="G21" s="4" t="n">
        <v>0.003949</v>
      </c>
      <c r="H21" s="4" t="n">
        <v>3</v>
      </c>
      <c r="I21" s="4" t="n">
        <v>0</v>
      </c>
      <c r="J21" s="4" t="n">
        <v>0</v>
      </c>
    </row>
    <row r="22">
      <c r="A22" s="4" t="inlineStr">
        <is>
          <t>sql23</t>
        </is>
      </c>
      <c r="B22" s="4" t="inlineStr">
        <is>
          <t>sql</t>
        </is>
      </c>
      <c r="C22" s="4" t="inlineStr">
        <is>
          <t>ok</t>
        </is>
      </c>
      <c r="D22" s="4" t="b">
        <v>1</v>
      </c>
      <c r="E22" s="4" t="inlineStr"/>
      <c r="F22" s="4" t="n">
        <v>12.83</v>
      </c>
      <c r="G22" s="4" t="n">
        <v>0.002908</v>
      </c>
      <c r="H22" s="4" t="n">
        <v>3</v>
      </c>
      <c r="I22" s="4" t="n">
        <v>0</v>
      </c>
      <c r="J22" s="4" t="n">
        <v>0</v>
      </c>
    </row>
    <row r="23">
      <c r="A23" s="4" t="inlineStr">
        <is>
          <t>sql24</t>
        </is>
      </c>
      <c r="B23" s="4" t="inlineStr">
        <is>
          <t>sql</t>
        </is>
      </c>
      <c r="C23" s="4" t="inlineStr">
        <is>
          <t>ok</t>
        </is>
      </c>
      <c r="D23" s="4" t="b">
        <v>1</v>
      </c>
      <c r="E23" s="4" t="inlineStr"/>
      <c r="F23" s="4" t="n">
        <v>13</v>
      </c>
      <c r="G23" s="4" t="n">
        <v>0.002884</v>
      </c>
      <c r="H23" s="4" t="n">
        <v>3</v>
      </c>
      <c r="I23" s="4" t="n">
        <v>0</v>
      </c>
      <c r="J23" s="4" t="n">
        <v>0</v>
      </c>
    </row>
    <row r="24">
      <c r="A24" s="4" t="inlineStr">
        <is>
          <t>sql25</t>
        </is>
      </c>
      <c r="B24" s="4" t="inlineStr">
        <is>
          <t>sql</t>
        </is>
      </c>
      <c r="C24" s="4" t="inlineStr">
        <is>
          <t>ok</t>
        </is>
      </c>
      <c r="D24" s="4" t="b">
        <v>1</v>
      </c>
      <c r="E24" s="4" t="inlineStr"/>
      <c r="F24" s="4" t="n">
        <v>14.44</v>
      </c>
      <c r="G24" s="4" t="n">
        <v>0.003427</v>
      </c>
      <c r="H24" s="4" t="n">
        <v>3</v>
      </c>
      <c r="I24" s="4" t="n">
        <v>0</v>
      </c>
      <c r="J24" s="4" t="n">
        <v>0</v>
      </c>
    </row>
    <row r="25">
      <c r="A25" s="4" t="inlineStr">
        <is>
          <t>sql26</t>
        </is>
      </c>
      <c r="B25" s="4" t="inlineStr">
        <is>
          <t>sql</t>
        </is>
      </c>
      <c r="C25" s="4" t="inlineStr">
        <is>
          <t>ok</t>
        </is>
      </c>
      <c r="D25" s="4" t="b">
        <v>1</v>
      </c>
      <c r="E25" s="4" t="inlineStr"/>
      <c r="F25" s="4" t="n">
        <v>14.24</v>
      </c>
      <c r="G25" s="4" t="n">
        <v>0.003103</v>
      </c>
      <c r="H25" s="4" t="n">
        <v>3</v>
      </c>
      <c r="I25" s="4" t="n">
        <v>0</v>
      </c>
      <c r="J25" s="4" t="n">
        <v>0</v>
      </c>
    </row>
    <row r="26">
      <c r="A26" s="4" t="inlineStr">
        <is>
          <t>sql27</t>
        </is>
      </c>
      <c r="B26" s="4" t="inlineStr">
        <is>
          <t>sql</t>
        </is>
      </c>
      <c r="C26" s="4" t="inlineStr">
        <is>
          <t>ok</t>
        </is>
      </c>
      <c r="D26" s="4" t="b">
        <v>1</v>
      </c>
      <c r="E26" s="4" t="inlineStr"/>
      <c r="F26" s="4" t="n">
        <v>14.69</v>
      </c>
      <c r="G26" s="4" t="n">
        <v>0.003834</v>
      </c>
      <c r="H26" s="4" t="n">
        <v>3</v>
      </c>
      <c r="I26" s="4" t="n">
        <v>0</v>
      </c>
      <c r="J26" s="4" t="n">
        <v>0</v>
      </c>
    </row>
    <row r="27">
      <c r="A27" s="4" t="inlineStr">
        <is>
          <t>sql28</t>
        </is>
      </c>
      <c r="B27" s="4" t="inlineStr">
        <is>
          <t>sql</t>
        </is>
      </c>
      <c r="C27" s="4" t="inlineStr">
        <is>
          <t>ok</t>
        </is>
      </c>
      <c r="D27" s="4" t="b">
        <v>1</v>
      </c>
      <c r="E27" s="4" t="inlineStr"/>
      <c r="F27" s="4" t="n">
        <v>16.24</v>
      </c>
      <c r="G27" s="4" t="n">
        <v>0.004708</v>
      </c>
      <c r="H27" s="4" t="n">
        <v>3</v>
      </c>
      <c r="I27" s="4" t="n">
        <v>0</v>
      </c>
      <c r="J27" s="4" t="n">
        <v>0</v>
      </c>
    </row>
    <row r="28">
      <c r="A28" s="4" t="inlineStr">
        <is>
          <t>sql29</t>
        </is>
      </c>
      <c r="B28" s="4" t="inlineStr">
        <is>
          <t>sql</t>
        </is>
      </c>
      <c r="C28" s="4" t="inlineStr">
        <is>
          <t>ok</t>
        </is>
      </c>
      <c r="D28" s="4" t="b">
        <v>1</v>
      </c>
      <c r="E28" s="4" t="inlineStr"/>
      <c r="F28" s="4" t="n">
        <v>20.13</v>
      </c>
      <c r="G28" s="4" t="n">
        <v>0.003158</v>
      </c>
      <c r="H28" s="4" t="n">
        <v>3</v>
      </c>
      <c r="I28" s="4" t="n">
        <v>0</v>
      </c>
      <c r="J28" s="4" t="n">
        <v>0</v>
      </c>
    </row>
    <row r="29">
      <c r="A29" s="4" t="inlineStr">
        <is>
          <t>sql30</t>
        </is>
      </c>
      <c r="B29" s="4" t="inlineStr">
        <is>
          <t>sql</t>
        </is>
      </c>
      <c r="C29" s="4" t="inlineStr">
        <is>
          <t>ok</t>
        </is>
      </c>
      <c r="D29" s="4" t="b">
        <v>1</v>
      </c>
      <c r="E29" s="4" t="inlineStr"/>
      <c r="F29" s="4" t="n">
        <v>18.52</v>
      </c>
      <c r="G29" s="4" t="n">
        <v>0.004662</v>
      </c>
      <c r="H29" s="4" t="n">
        <v>3</v>
      </c>
      <c r="I29" s="4" t="n">
        <v>0</v>
      </c>
      <c r="J29" s="4" t="n">
        <v>0</v>
      </c>
    </row>
    <row r="30">
      <c r="A30" s="4" t="inlineStr">
        <is>
          <t>rc01</t>
        </is>
      </c>
      <c r="B30" s="4" t="inlineStr">
        <is>
          <t>root_cause</t>
        </is>
      </c>
      <c r="C30" s="4" t="inlineStr">
        <is>
          <t>ok</t>
        </is>
      </c>
      <c r="D30" s="4" t="b">
        <v>1</v>
      </c>
      <c r="E30" s="4" t="b">
        <v>1</v>
      </c>
      <c r="F30" s="4" t="n">
        <v>21.72</v>
      </c>
      <c r="G30" s="4" t="n">
        <v>0.006673</v>
      </c>
      <c r="H30" s="4" t="n">
        <v>3</v>
      </c>
      <c r="I30" s="4" t="n">
        <v>0</v>
      </c>
      <c r="J30" s="4" t="n">
        <v>0</v>
      </c>
    </row>
    <row r="31">
      <c r="A31" s="4" t="inlineStr">
        <is>
          <t>rc02</t>
        </is>
      </c>
      <c r="B31" s="4" t="inlineStr">
        <is>
          <t>root_cause</t>
        </is>
      </c>
      <c r="C31" s="4" t="inlineStr">
        <is>
          <t>ok</t>
        </is>
      </c>
      <c r="D31" s="4" t="b">
        <v>1</v>
      </c>
      <c r="E31" s="4" t="b">
        <v>1</v>
      </c>
      <c r="F31" s="4" t="n">
        <v>27.79</v>
      </c>
      <c r="G31" s="4" t="n">
        <v>0.005661</v>
      </c>
      <c r="H31" s="4" t="n">
        <v>3</v>
      </c>
      <c r="I31" s="4" t="n">
        <v>0</v>
      </c>
      <c r="J31" s="4" t="n">
        <v>0</v>
      </c>
    </row>
    <row r="32">
      <c r="A32" s="4" t="inlineStr">
        <is>
          <t>rc03</t>
        </is>
      </c>
      <c r="B32" s="4" t="inlineStr">
        <is>
          <t>root_cause</t>
        </is>
      </c>
      <c r="C32" s="4" t="inlineStr">
        <is>
          <t>ok</t>
        </is>
      </c>
      <c r="D32" s="4" t="b">
        <v>1</v>
      </c>
      <c r="E32" s="4" t="b">
        <v>1</v>
      </c>
      <c r="F32" s="4" t="n">
        <v>26.35</v>
      </c>
      <c r="G32" s="4" t="n">
        <v>0.006839</v>
      </c>
      <c r="H32" s="4" t="n">
        <v>3</v>
      </c>
      <c r="I32" s="4" t="n">
        <v>0</v>
      </c>
      <c r="J32" s="4" t="n">
        <v>0</v>
      </c>
    </row>
    <row r="33">
      <c r="A33" s="4" t="inlineStr">
        <is>
          <t>rc04</t>
        </is>
      </c>
      <c r="B33" s="4" t="inlineStr">
        <is>
          <t>root_cause</t>
        </is>
      </c>
      <c r="C33" s="4" t="inlineStr">
        <is>
          <t>ok</t>
        </is>
      </c>
      <c r="D33" s="4" t="b">
        <v>1</v>
      </c>
      <c r="E33" s="4" t="b">
        <v>1</v>
      </c>
      <c r="F33" s="4" t="n">
        <v>27.27</v>
      </c>
      <c r="G33" s="4" t="n">
        <v>0.007607</v>
      </c>
      <c r="H33" s="4" t="n">
        <v>3</v>
      </c>
      <c r="I33" s="4" t="n">
        <v>0</v>
      </c>
      <c r="J33" s="4" t="n">
        <v>0</v>
      </c>
    </row>
    <row r="34">
      <c r="A34" s="4" t="inlineStr">
        <is>
          <t>rc05</t>
        </is>
      </c>
      <c r="B34" s="4" t="inlineStr">
        <is>
          <t>root_cause</t>
        </is>
      </c>
      <c r="C34" s="4" t="inlineStr">
        <is>
          <t>ok</t>
        </is>
      </c>
      <c r="D34" s="4" t="b">
        <v>1</v>
      </c>
      <c r="E34" s="4" t="b">
        <v>1</v>
      </c>
      <c r="F34" s="4" t="n">
        <v>37.61</v>
      </c>
      <c r="G34" s="4" t="n">
        <v>0.011054</v>
      </c>
      <c r="H34" s="4" t="n">
        <v>3</v>
      </c>
      <c r="I34" s="4" t="n">
        <v>0</v>
      </c>
      <c r="J34" s="4" t="n">
        <v>0</v>
      </c>
    </row>
    <row r="35">
      <c r="A35" s="4" t="inlineStr">
        <is>
          <t>rc06</t>
        </is>
      </c>
      <c r="B35" s="4" t="inlineStr">
        <is>
          <t>root_cause</t>
        </is>
      </c>
      <c r="C35" s="4" t="inlineStr">
        <is>
          <t>ok</t>
        </is>
      </c>
      <c r="D35" s="4" t="b">
        <v>1</v>
      </c>
      <c r="E35" s="4" t="b">
        <v>1</v>
      </c>
      <c r="F35" s="4" t="n">
        <v>20.98</v>
      </c>
      <c r="G35" s="4" t="n">
        <v>0.005794</v>
      </c>
      <c r="H35" s="4" t="n">
        <v>3</v>
      </c>
      <c r="I35" s="4" t="n">
        <v>0</v>
      </c>
      <c r="J35" s="4" t="n">
        <v>0</v>
      </c>
    </row>
    <row r="36">
      <c r="A36" s="4" t="inlineStr">
        <is>
          <t>rc08</t>
        </is>
      </c>
      <c r="B36" s="4" t="inlineStr">
        <is>
          <t>root_cause</t>
        </is>
      </c>
      <c r="C36" s="4" t="inlineStr">
        <is>
          <t>ok</t>
        </is>
      </c>
      <c r="D36" s="4" t="b">
        <v>0</v>
      </c>
      <c r="E36" s="4" t="b">
        <v>1</v>
      </c>
      <c r="F36" s="4" t="n">
        <v>55.24</v>
      </c>
      <c r="G36" s="4" t="n">
        <v>0.008779</v>
      </c>
      <c r="H36" s="4" t="n">
        <v>3</v>
      </c>
      <c r="I36" s="4" t="n">
        <v>0</v>
      </c>
      <c r="J36" s="4" t="n">
        <v>0</v>
      </c>
    </row>
    <row r="37">
      <c r="A37" s="4" t="inlineStr">
        <is>
          <t>rc09</t>
        </is>
      </c>
      <c r="B37" s="4" t="inlineStr">
        <is>
          <t>root_cause</t>
        </is>
      </c>
      <c r="C37" s="4" t="inlineStr">
        <is>
          <t>ok</t>
        </is>
      </c>
      <c r="D37" s="4" t="b">
        <v>1</v>
      </c>
      <c r="E37" s="4" t="b">
        <v>1</v>
      </c>
      <c r="F37" s="4" t="n">
        <v>20.74</v>
      </c>
      <c r="G37" s="4" t="n">
        <v>0.004914</v>
      </c>
      <c r="H37" s="4" t="n">
        <v>3</v>
      </c>
      <c r="I37" s="4" t="n">
        <v>0</v>
      </c>
      <c r="J37" s="4" t="n">
        <v>0</v>
      </c>
    </row>
    <row r="38">
      <c r="A38" s="4" t="inlineStr">
        <is>
          <t>rc10</t>
        </is>
      </c>
      <c r="B38" s="4" t="inlineStr">
        <is>
          <t>root_cause</t>
        </is>
      </c>
      <c r="C38" s="4" t="inlineStr">
        <is>
          <t>ok</t>
        </is>
      </c>
      <c r="D38" s="4" t="b">
        <v>1</v>
      </c>
      <c r="E38" s="4" t="b">
        <v>1</v>
      </c>
      <c r="F38" s="4" t="n">
        <v>24.66</v>
      </c>
      <c r="G38" s="4" t="n">
        <v>0.006312</v>
      </c>
      <c r="H38" s="4" t="n">
        <v>3</v>
      </c>
      <c r="I38" s="4" t="n">
        <v>0</v>
      </c>
      <c r="J38" s="4" t="n">
        <v>0</v>
      </c>
    </row>
    <row r="39">
      <c r="A39" s="4" t="inlineStr">
        <is>
          <t>rc11</t>
        </is>
      </c>
      <c r="B39" s="4" t="inlineStr">
        <is>
          <t>root_cause</t>
        </is>
      </c>
      <c r="C39" s="4" t="inlineStr">
        <is>
          <t>ok</t>
        </is>
      </c>
      <c r="D39" s="4" t="b">
        <v>1</v>
      </c>
      <c r="E39" s="4" t="b">
        <v>1</v>
      </c>
      <c r="F39" s="4" t="n">
        <v>19.33</v>
      </c>
      <c r="G39" s="4" t="n">
        <v>0.004742</v>
      </c>
      <c r="H39" s="4" t="n">
        <v>3</v>
      </c>
      <c r="I39" s="4" t="n">
        <v>0</v>
      </c>
      <c r="J39" s="4" t="n">
        <v>0</v>
      </c>
    </row>
    <row r="40">
      <c r="A40" s="4" t="inlineStr">
        <is>
          <t>rc12</t>
        </is>
      </c>
      <c r="B40" s="4" t="inlineStr">
        <is>
          <t>root_cause</t>
        </is>
      </c>
      <c r="C40" s="4" t="inlineStr">
        <is>
          <t>ok</t>
        </is>
      </c>
      <c r="D40" s="4" t="b">
        <v>1</v>
      </c>
      <c r="E40" s="4" t="b">
        <v>1</v>
      </c>
      <c r="F40" s="4" t="n">
        <v>29.66</v>
      </c>
      <c r="G40" s="4" t="n">
        <v>0.006245</v>
      </c>
      <c r="H40" s="4" t="n">
        <v>3</v>
      </c>
      <c r="I40" s="4" t="n">
        <v>0</v>
      </c>
      <c r="J40" s="4" t="n">
        <v>0</v>
      </c>
    </row>
    <row r="41">
      <c r="A41" s="4" t="inlineStr">
        <is>
          <t>rc13</t>
        </is>
      </c>
      <c r="B41" s="4" t="inlineStr">
        <is>
          <t>root_cause</t>
        </is>
      </c>
      <c r="C41" s="4" t="inlineStr">
        <is>
          <t>ok</t>
        </is>
      </c>
      <c r="D41" s="4" t="b">
        <v>1</v>
      </c>
      <c r="E41" s="4" t="b">
        <v>1</v>
      </c>
      <c r="F41" s="4" t="n">
        <v>16.85</v>
      </c>
      <c r="G41" s="4" t="n">
        <v>0.004451</v>
      </c>
      <c r="H41" s="4" t="n">
        <v>3</v>
      </c>
      <c r="I41" s="4" t="n">
        <v>0</v>
      </c>
      <c r="J41" s="4" t="n">
        <v>0</v>
      </c>
    </row>
    <row r="42">
      <c r="A42" s="4" t="inlineStr">
        <is>
          <t>rc14</t>
        </is>
      </c>
      <c r="B42" s="4" t="inlineStr">
        <is>
          <t>root_cause</t>
        </is>
      </c>
      <c r="C42" s="4" t="inlineStr">
        <is>
          <t>ok</t>
        </is>
      </c>
      <c r="D42" s="4" t="b">
        <v>1</v>
      </c>
      <c r="E42" s="4" t="b">
        <v>1</v>
      </c>
      <c r="F42" s="4" t="n">
        <v>19.69</v>
      </c>
      <c r="G42" s="4" t="n">
        <v>0.006282</v>
      </c>
      <c r="H42" s="4" t="n">
        <v>3</v>
      </c>
      <c r="I42" s="4" t="n">
        <v>0</v>
      </c>
      <c r="J42" s="4" t="n">
        <v>0</v>
      </c>
    </row>
    <row r="43">
      <c r="A43" s="4" t="inlineStr">
        <is>
          <t>rc15</t>
        </is>
      </c>
      <c r="B43" s="4" t="inlineStr">
        <is>
          <t>root_cause</t>
        </is>
      </c>
      <c r="C43" s="4" t="inlineStr">
        <is>
          <t>ok</t>
        </is>
      </c>
      <c r="D43" s="4" t="b">
        <v>1</v>
      </c>
      <c r="E43" s="4" t="b">
        <v>1</v>
      </c>
      <c r="F43" s="4" t="n">
        <v>21.92</v>
      </c>
      <c r="G43" s="4" t="n">
        <v>0.007032</v>
      </c>
      <c r="H43" s="4" t="n">
        <v>3</v>
      </c>
      <c r="I43" s="4" t="n">
        <v>0</v>
      </c>
      <c r="J43" s="4" t="n">
        <v>0</v>
      </c>
    </row>
    <row r="44">
      <c r="A44" s="4" t="inlineStr">
        <is>
          <t>rf01</t>
        </is>
      </c>
      <c r="B44" s="4" t="inlineStr">
        <is>
          <t>refusal</t>
        </is>
      </c>
      <c r="C44" s="4" t="inlineStr">
        <is>
          <t>unanswerable</t>
        </is>
      </c>
      <c r="D44" s="4" t="b">
        <v>1</v>
      </c>
      <c r="E44" s="4" t="inlineStr"/>
      <c r="F44" s="4" t="n">
        <v>11.83</v>
      </c>
      <c r="G44" s="4" t="n">
        <v>0.0008630000000000001</v>
      </c>
      <c r="H44" s="4" t="n">
        <v>1</v>
      </c>
      <c r="I44" s="4" t="n">
        <v>0</v>
      </c>
      <c r="J44" s="4" t="n">
        <v>0</v>
      </c>
    </row>
    <row r="45">
      <c r="A45" s="4" t="inlineStr">
        <is>
          <t>rf02</t>
        </is>
      </c>
      <c r="B45" s="4" t="inlineStr">
        <is>
          <t>refusal</t>
        </is>
      </c>
      <c r="C45" s="4" t="inlineStr">
        <is>
          <t>unanswerable</t>
        </is>
      </c>
      <c r="D45" s="4" t="b">
        <v>1</v>
      </c>
      <c r="E45" s="4" t="inlineStr"/>
      <c r="F45" s="4" t="n">
        <v>3.98</v>
      </c>
      <c r="G45" s="4" t="n">
        <v>0.0009829999999999999</v>
      </c>
      <c r="H45" s="4" t="n">
        <v>1</v>
      </c>
      <c r="I45" s="4" t="n">
        <v>0</v>
      </c>
      <c r="J45" s="4" t="n">
        <v>0</v>
      </c>
    </row>
    <row r="46">
      <c r="A46" s="4" t="inlineStr">
        <is>
          <t>rf03</t>
        </is>
      </c>
      <c r="B46" s="4" t="inlineStr">
        <is>
          <t>refusal</t>
        </is>
      </c>
      <c r="C46" s="4" t="inlineStr">
        <is>
          <t>unanswerable</t>
        </is>
      </c>
      <c r="D46" s="4" t="b">
        <v>1</v>
      </c>
      <c r="E46" s="4" t="inlineStr"/>
      <c r="F46" s="4" t="n">
        <v>6.88</v>
      </c>
      <c r="G46" s="4" t="n">
        <v>0.000826</v>
      </c>
      <c r="H46" s="4" t="n">
        <v>1</v>
      </c>
      <c r="I46" s="4" t="n">
        <v>0</v>
      </c>
      <c r="J46" s="4" t="n">
        <v>0</v>
      </c>
    </row>
    <row r="47">
      <c r="A47" s="4" t="inlineStr">
        <is>
          <t>rf04</t>
        </is>
      </c>
      <c r="B47" s="4" t="inlineStr">
        <is>
          <t>refusal</t>
        </is>
      </c>
      <c r="C47" s="4" t="inlineStr">
        <is>
          <t>unanswerable</t>
        </is>
      </c>
      <c r="D47" s="4" t="b">
        <v>1</v>
      </c>
      <c r="E47" s="4" t="inlineStr"/>
      <c r="F47" s="4" t="n">
        <v>6.66</v>
      </c>
      <c r="G47" s="4" t="n">
        <v>0.000959</v>
      </c>
      <c r="H47" s="4" t="n">
        <v>1</v>
      </c>
      <c r="I47" s="4" t="n">
        <v>0</v>
      </c>
      <c r="J47" s="4" t="n">
        <v>0</v>
      </c>
    </row>
    <row r="48">
      <c r="A48" s="4" t="inlineStr">
        <is>
          <t>rf05</t>
        </is>
      </c>
      <c r="B48" s="4" t="inlineStr">
        <is>
          <t>refusal</t>
        </is>
      </c>
      <c r="C48" s="4" t="inlineStr">
        <is>
          <t>unanswerable</t>
        </is>
      </c>
      <c r="D48" s="4" t="b">
        <v>1</v>
      </c>
      <c r="E48" s="4" t="inlineStr"/>
      <c r="F48" s="4" t="n">
        <v>4.6</v>
      </c>
      <c r="G48" s="4" t="n">
        <v>0.000884</v>
      </c>
      <c r="H48" s="4" t="n">
        <v>1</v>
      </c>
      <c r="I48" s="4" t="n">
        <v>0</v>
      </c>
      <c r="J48" s="4" t="n">
        <v>0</v>
      </c>
    </row>
    <row r="49">
      <c r="A49" s="4" t="inlineStr">
        <is>
          <t>sql14</t>
        </is>
      </c>
      <c r="B49" s="4" t="inlineStr">
        <is>
          <t>sql</t>
        </is>
      </c>
      <c r="C49" s="4" t="inlineStr">
        <is>
          <t>ok</t>
        </is>
      </c>
      <c r="D49" s="4" t="b">
        <v>1</v>
      </c>
      <c r="E49" s="4" t="inlineStr"/>
      <c r="F49" s="4" t="n">
        <v>25.16</v>
      </c>
      <c r="G49" s="4" t="n">
        <v>0.005415</v>
      </c>
      <c r="H49" s="4" t="n">
        <v>3</v>
      </c>
      <c r="I49" s="4" t="n">
        <v>0</v>
      </c>
      <c r="J49" s="4" t="n">
        <v>0</v>
      </c>
    </row>
    <row r="50">
      <c r="A50" s="4" t="inlineStr">
        <is>
          <t>sql15</t>
        </is>
      </c>
      <c r="B50" s="4" t="inlineStr">
        <is>
          <t>sql</t>
        </is>
      </c>
      <c r="C50" s="4" t="inlineStr">
        <is>
          <t>ok</t>
        </is>
      </c>
      <c r="D50" s="4" t="b">
        <v>1</v>
      </c>
      <c r="E50" s="4" t="inlineStr"/>
      <c r="F50" s="4" t="n">
        <v>12.49</v>
      </c>
      <c r="G50" s="4" t="n">
        <v>0.004792</v>
      </c>
      <c r="H50" s="4" t="n">
        <v>3</v>
      </c>
      <c r="I50" s="4" t="n">
        <v>0</v>
      </c>
      <c r="J50" s="4" t="n">
        <v>0</v>
      </c>
    </row>
    <row r="51">
      <c r="A51" s="4" t="inlineStr">
        <is>
          <t>rc07</t>
        </is>
      </c>
      <c r="B51" s="4" t="inlineStr">
        <is>
          <t>root_cause</t>
        </is>
      </c>
      <c r="C51" s="4" t="inlineStr">
        <is>
          <t>ok</t>
        </is>
      </c>
      <c r="D51" s="4" t="b">
        <v>1</v>
      </c>
      <c r="E51" s="4" t="b">
        <v>1</v>
      </c>
      <c r="F51" s="4" t="n">
        <v>29.96</v>
      </c>
      <c r="G51" s="4" t="n">
        <v>0.006283</v>
      </c>
      <c r="H51" s="4" t="n">
        <v>3</v>
      </c>
      <c r="I51" s="4" t="n">
        <v>0</v>
      </c>
      <c r="J51" s="4" t="n">
        <v>0</v>
      </c>
    </row>
  </sheetData>
  <conditionalFormatting sqref="D2:D51">
    <cfRule type="cellIs" priority="1" operator="equal" dxfId="1">
      <formula>FALSE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9" customWidth="1" min="3" max="3"/>
    <col width="10" customWidth="1" min="4" max="4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Severity</t>
        </is>
      </c>
      <c r="D1" t="inlineStr">
        <is>
          <t>Status</t>
        </is>
      </c>
    </row>
    <row r="2">
      <c r="A2" s="4" t="inlineStr">
        <is>
          <t>BUG-001</t>
        </is>
      </c>
      <c r="B2" s="4" t="inlineStr">
        <is>
          <t>UI: "Not helpful" feedback button label is cut off</t>
        </is>
      </c>
      <c r="C2" s="4" t="inlineStr">
        <is>
          <t>S4</t>
        </is>
      </c>
      <c r="D2" s="4" t="inlineStr">
        <is>
          <t>Closed</t>
        </is>
      </c>
    </row>
    <row r="3">
      <c r="A3" s="4" t="inlineStr">
        <is>
          <t>BUG-002</t>
        </is>
      </c>
      <c r="B3" s="4" t="inlineStr">
        <is>
          <t>API: every question fails with `ImportError: DLL load failed`</t>
        </is>
      </c>
      <c r="C3" s="4" t="inlineStr">
        <is>
          <t>S1</t>
        </is>
      </c>
      <c r="D3" s="4" t="inlineStr">
        <is>
          <t>Closed</t>
        </is>
      </c>
    </row>
    <row r="4">
      <c r="A4" s="4" t="inlineStr">
        <is>
          <t>BUG-003</t>
        </is>
      </c>
      <c r="B4" s="4" t="inlineStr">
        <is>
          <t>Test: UI evidence screenshot taken before the audit trail had opened</t>
        </is>
      </c>
      <c r="C4" s="4" t="inlineStr">
        <is>
          <t>S3</t>
        </is>
      </c>
      <c r="D4" s="4" t="inlineStr">
        <is>
          <t>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2026-09-25T11:39:42Z</dcterms:created>
  <dcterms:modified xsi:type="dcterms:W3CDTF">2026-09-25T11:39:43Z</dcterms:modified>
</cp:coreProperties>
</file>