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  <xf numFmtId="9" fontId="0" fillId="2" borderId="0" pivotButton="0" quotePrefix="0" xfId="0"/>
    <xf numFmtId="9" fontId="0" fillId="0" borderId="0" pivotButton="0" quotePrefix="0" xfId="0"/>
    <xf numFmtId="3" fontId="0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Marketplace financial model (BRL)</t>
        </is>
      </c>
    </row>
    <row r="2">
      <c r="A2" t="inlineStr">
        <is>
          <t>Starting point: Olist actuals for 2018-08-01. Yellow cells are editable.</t>
        </is>
      </c>
    </row>
    <row r="4">
      <c r="A4" s="2" t="inlineStr">
        <is>
          <t>Selected scenario</t>
        </is>
      </c>
      <c r="B4" s="3" t="inlineStr">
        <is>
          <t>Base</t>
        </is>
      </c>
    </row>
    <row r="5">
      <c r="A5" t="inlineStr">
        <is>
          <t>Starting monthly orders</t>
        </is>
      </c>
      <c r="B5" s="3" t="n">
        <v>6421</v>
      </c>
    </row>
    <row r="6">
      <c r="A6" t="inlineStr">
        <is>
          <t>Starting AOV (BRL)</t>
        </is>
      </c>
      <c r="B6" s="3" t="n">
        <v>155.27</v>
      </c>
    </row>
    <row r="8">
      <c r="A8" s="2" t="inlineStr">
        <is>
          <t>Assumption</t>
        </is>
      </c>
      <c r="B8" s="2" t="inlineStr">
        <is>
          <t>Bear</t>
        </is>
      </c>
      <c r="C8" s="2" t="inlineStr">
        <is>
          <t>Base</t>
        </is>
      </c>
      <c r="D8" s="2" t="inlineStr">
        <is>
          <t>Bull</t>
        </is>
      </c>
      <c r="E8" s="2" t="inlineStr">
        <is>
          <t>Selected</t>
        </is>
      </c>
    </row>
    <row r="9">
      <c r="A9" t="inlineStr">
        <is>
          <t>Monthly order growth</t>
        </is>
      </c>
      <c r="B9" s="4" t="n">
        <v>0.01</v>
      </c>
      <c r="C9" s="4" t="n">
        <v>0.03</v>
      </c>
      <c r="D9" s="4" t="n">
        <v>0.05</v>
      </c>
      <c r="E9" s="5">
        <f>INDEX(B9:D9,MATCH($B$4,$B$8:$D$8,0))</f>
        <v/>
      </c>
    </row>
    <row r="10">
      <c r="A10" t="inlineStr">
        <is>
          <t>Monthly AOV growth</t>
        </is>
      </c>
      <c r="B10" s="4" t="n">
        <v>0</v>
      </c>
      <c r="C10" s="4" t="n">
        <v>0.002</v>
      </c>
      <c r="D10" s="4" t="n">
        <v>0.004</v>
      </c>
      <c r="E10" s="5">
        <f>INDEX(B10:D10,MATCH($B$4,$B$8:$D$8,0))</f>
        <v/>
      </c>
    </row>
    <row r="11">
      <c r="A11" t="inlineStr">
        <is>
          <t>Take rate (commission on GMV)</t>
        </is>
      </c>
      <c r="B11" s="4" t="n">
        <v>0.1</v>
      </c>
      <c r="C11" s="4" t="n">
        <v>0.12</v>
      </c>
      <c r="D11" s="4" t="n">
        <v>0.14</v>
      </c>
      <c r="E11" s="5">
        <f>INDEX(B11:D11,MATCH($B$4,$B$8:$D$8,0))</f>
        <v/>
      </c>
    </row>
    <row r="12">
      <c r="A12" t="inlineStr">
        <is>
          <t>Payment + fraud cost (% of GMV)</t>
        </is>
      </c>
      <c r="B12" s="4" t="n">
        <v>0.025</v>
      </c>
      <c r="C12" s="4" t="n">
        <v>0.022</v>
      </c>
      <c r="D12" s="4" t="n">
        <v>0.02</v>
      </c>
      <c r="E12" s="5">
        <f>INDEX(B12:D12,MATCH($B$4,$B$8:$D$8,0))</f>
        <v/>
      </c>
    </row>
    <row r="13">
      <c r="A13" t="inlineStr">
        <is>
          <t>Share of orders from new customers</t>
        </is>
      </c>
      <c r="B13" s="6" t="n">
        <v>0.97</v>
      </c>
      <c r="C13" s="6" t="n">
        <v>0.95</v>
      </c>
      <c r="D13" s="6" t="n">
        <v>0.92</v>
      </c>
      <c r="E13" s="7">
        <f>INDEX(B13:D13,MATCH($B$4,$B$8:$D$8,0))</f>
        <v/>
      </c>
    </row>
    <row r="14">
      <c r="A14" t="inlineStr">
        <is>
          <t>CAC per new customer (BRL)</t>
        </is>
      </c>
      <c r="B14" s="8" t="n">
        <v>45</v>
      </c>
      <c r="C14" s="8" t="n">
        <v>35</v>
      </c>
      <c r="D14" s="8" t="n">
        <v>28</v>
      </c>
      <c r="E14" s="9">
        <f>INDEX(B14:D14,MATCH($B$4,$B$8:$D$8,0))</f>
        <v/>
      </c>
    </row>
    <row r="15">
      <c r="A15" t="inlineStr">
        <is>
          <t>Fixed costs per month (BRL)</t>
        </is>
      </c>
      <c r="B15" s="8" t="n">
        <v>450000</v>
      </c>
      <c r="C15" s="8" t="n">
        <v>420000</v>
      </c>
      <c r="D15" s="8" t="n">
        <v>400000</v>
      </c>
      <c r="E15" s="9">
        <f>INDEX(B15:D15,MATCH($B$4,$B$8:$D$8,0))</f>
        <v/>
      </c>
    </row>
    <row r="16">
      <c r="A16" t="inlineStr">
        <is>
          <t>Fixed cost growth per month</t>
        </is>
      </c>
      <c r="B16" s="4" t="n">
        <v>0.02</v>
      </c>
      <c r="C16" s="4" t="n">
        <v>0.015</v>
      </c>
      <c r="D16" s="4" t="n">
        <v>0.01</v>
      </c>
      <c r="E16" s="5">
        <f>INDEX(B16:D16,MATCH($B$4,$B$8:$D$8,0))</f>
        <v/>
      </c>
    </row>
    <row r="17">
      <c r="A17" t="inlineStr">
        <is>
          <t>Starting cash (BRL)</t>
        </is>
      </c>
      <c r="B17" s="8" t="n">
        <v>15000000</v>
      </c>
      <c r="C17" s="8" t="n">
        <v>15000000</v>
      </c>
      <c r="D17" s="8" t="n">
        <v>15000000</v>
      </c>
      <c r="E17" s="9">
        <f>INDEX(B17:D17,MATCH($B$4,$B$8:$D$8,0))</f>
        <v/>
      </c>
    </row>
  </sheetData>
  <dataValidations count="1">
    <dataValidation sqref="B4" showDropDown="0" showInputMessage="0" showErrorMessage="0" allowBlank="0" type="list">
      <formula1>"Bear,Base,Bull"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14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>
      <c r="A1" s="2" t="inlineStr">
        <is>
          <t>Month</t>
        </is>
      </c>
      <c r="B1" s="2" t="inlineStr">
        <is>
          <t>Orders</t>
        </is>
      </c>
      <c r="C1" s="2" t="inlineStr">
        <is>
          <t>AOV</t>
        </is>
      </c>
      <c r="D1" s="2" t="inlineStr">
        <is>
          <t>GMV</t>
        </is>
      </c>
      <c r="E1" s="2" t="inlineStr">
        <is>
          <t>Net revenue</t>
        </is>
      </c>
      <c r="F1" s="2" t="inlineStr">
        <is>
          <t>Payment costs</t>
        </is>
      </c>
      <c r="G1" s="2" t="inlineStr">
        <is>
          <t>New customers</t>
        </is>
      </c>
      <c r="H1" s="2" t="inlineStr">
        <is>
          <t>Marketing (CAC)</t>
        </is>
      </c>
      <c r="I1" s="2" t="inlineStr">
        <is>
          <t>Contribution</t>
        </is>
      </c>
      <c r="J1" s="2" t="inlineStr">
        <is>
          <t>Fixed costs</t>
        </is>
      </c>
      <c r="K1" s="2" t="inlineStr">
        <is>
          <t>EBITDA</t>
        </is>
      </c>
      <c r="L1" s="2" t="inlineStr">
        <is>
          <t>Cash (end)</t>
        </is>
      </c>
    </row>
    <row r="2">
      <c r="A2" t="n">
        <v>1</v>
      </c>
      <c r="B2" s="9">
        <f>Assumptions!$B$5*(1+Assumptions!$E$9)</f>
        <v/>
      </c>
      <c r="C2" s="9">
        <f>Assumptions!$B$6*(1+Assumptions!$E$10)</f>
        <v/>
      </c>
      <c r="D2" s="9">
        <f>B2*C2</f>
        <v/>
      </c>
      <c r="E2" s="9">
        <f>D2*Assumptions!$E$11</f>
        <v/>
      </c>
      <c r="F2" s="9">
        <f>D2*Assumptions!$E$12</f>
        <v/>
      </c>
      <c r="G2" s="9">
        <f>B2*Assumptions!$E$13</f>
        <v/>
      </c>
      <c r="H2" s="9">
        <f>G2*Assumptions!$E$14</f>
        <v/>
      </c>
      <c r="I2" s="9">
        <f>E2-F2-H2</f>
        <v/>
      </c>
      <c r="J2" s="9">
        <f>Assumptions!$E$15</f>
        <v/>
      </c>
      <c r="K2" s="9">
        <f>I2-J2</f>
        <v/>
      </c>
      <c r="L2" s="9">
        <f>Assumptions!$E$17+K2</f>
        <v/>
      </c>
    </row>
    <row r="3">
      <c r="A3" t="n">
        <v>2</v>
      </c>
      <c r="B3" s="9">
        <f>B2*(1+Assumptions!$E$9)</f>
        <v/>
      </c>
      <c r="C3" s="9">
        <f>C2*(1+Assumptions!$E$10)</f>
        <v/>
      </c>
      <c r="D3" s="9">
        <f>B3*C3</f>
        <v/>
      </c>
      <c r="E3" s="9">
        <f>D3*Assumptions!$E$11</f>
        <v/>
      </c>
      <c r="F3" s="9">
        <f>D3*Assumptions!$E$12</f>
        <v/>
      </c>
      <c r="G3" s="9">
        <f>B3*Assumptions!$E$13</f>
        <v/>
      </c>
      <c r="H3" s="9">
        <f>G3*Assumptions!$E$14</f>
        <v/>
      </c>
      <c r="I3" s="9">
        <f>E3-F3-H3</f>
        <v/>
      </c>
      <c r="J3" s="9">
        <f>J2*(1+Assumptions!$E$16)</f>
        <v/>
      </c>
      <c r="K3" s="9">
        <f>I3-J3</f>
        <v/>
      </c>
      <c r="L3" s="9">
        <f>L2+K3</f>
        <v/>
      </c>
    </row>
    <row r="4">
      <c r="A4" t="n">
        <v>3</v>
      </c>
      <c r="B4" s="9">
        <f>B3*(1+Assumptions!$E$9)</f>
        <v/>
      </c>
      <c r="C4" s="9">
        <f>C3*(1+Assumptions!$E$10)</f>
        <v/>
      </c>
      <c r="D4" s="9">
        <f>B4*C4</f>
        <v/>
      </c>
      <c r="E4" s="9">
        <f>D4*Assumptions!$E$11</f>
        <v/>
      </c>
      <c r="F4" s="9">
        <f>D4*Assumptions!$E$12</f>
        <v/>
      </c>
      <c r="G4" s="9">
        <f>B4*Assumptions!$E$13</f>
        <v/>
      </c>
      <c r="H4" s="9">
        <f>G4*Assumptions!$E$14</f>
        <v/>
      </c>
      <c r="I4" s="9">
        <f>E4-F4-H4</f>
        <v/>
      </c>
      <c r="J4" s="9">
        <f>J3*(1+Assumptions!$E$16)</f>
        <v/>
      </c>
      <c r="K4" s="9">
        <f>I4-J4</f>
        <v/>
      </c>
      <c r="L4" s="9">
        <f>L3+K4</f>
        <v/>
      </c>
    </row>
    <row r="5">
      <c r="A5" t="n">
        <v>4</v>
      </c>
      <c r="B5" s="9">
        <f>B4*(1+Assumptions!$E$9)</f>
        <v/>
      </c>
      <c r="C5" s="9">
        <f>C4*(1+Assumptions!$E$10)</f>
        <v/>
      </c>
      <c r="D5" s="9">
        <f>B5*C5</f>
        <v/>
      </c>
      <c r="E5" s="9">
        <f>D5*Assumptions!$E$11</f>
        <v/>
      </c>
      <c r="F5" s="9">
        <f>D5*Assumptions!$E$12</f>
        <v/>
      </c>
      <c r="G5" s="9">
        <f>B5*Assumptions!$E$13</f>
        <v/>
      </c>
      <c r="H5" s="9">
        <f>G5*Assumptions!$E$14</f>
        <v/>
      </c>
      <c r="I5" s="9">
        <f>E5-F5-H5</f>
        <v/>
      </c>
      <c r="J5" s="9">
        <f>J4*(1+Assumptions!$E$16)</f>
        <v/>
      </c>
      <c r="K5" s="9">
        <f>I5-J5</f>
        <v/>
      </c>
      <c r="L5" s="9">
        <f>L4+K5</f>
        <v/>
      </c>
    </row>
    <row r="6">
      <c r="A6" t="n">
        <v>5</v>
      </c>
      <c r="B6" s="9">
        <f>B5*(1+Assumptions!$E$9)</f>
        <v/>
      </c>
      <c r="C6" s="9">
        <f>C5*(1+Assumptions!$E$10)</f>
        <v/>
      </c>
      <c r="D6" s="9">
        <f>B6*C6</f>
        <v/>
      </c>
      <c r="E6" s="9">
        <f>D6*Assumptions!$E$11</f>
        <v/>
      </c>
      <c r="F6" s="9">
        <f>D6*Assumptions!$E$12</f>
        <v/>
      </c>
      <c r="G6" s="9">
        <f>B6*Assumptions!$E$13</f>
        <v/>
      </c>
      <c r="H6" s="9">
        <f>G6*Assumptions!$E$14</f>
        <v/>
      </c>
      <c r="I6" s="9">
        <f>E6-F6-H6</f>
        <v/>
      </c>
      <c r="J6" s="9">
        <f>J5*(1+Assumptions!$E$16)</f>
        <v/>
      </c>
      <c r="K6" s="9">
        <f>I6-J6</f>
        <v/>
      </c>
      <c r="L6" s="9">
        <f>L5+K6</f>
        <v/>
      </c>
    </row>
    <row r="7">
      <c r="A7" t="n">
        <v>6</v>
      </c>
      <c r="B7" s="9">
        <f>B6*(1+Assumptions!$E$9)</f>
        <v/>
      </c>
      <c r="C7" s="9">
        <f>C6*(1+Assumptions!$E$10)</f>
        <v/>
      </c>
      <c r="D7" s="9">
        <f>B7*C7</f>
        <v/>
      </c>
      <c r="E7" s="9">
        <f>D7*Assumptions!$E$11</f>
        <v/>
      </c>
      <c r="F7" s="9">
        <f>D7*Assumptions!$E$12</f>
        <v/>
      </c>
      <c r="G7" s="9">
        <f>B7*Assumptions!$E$13</f>
        <v/>
      </c>
      <c r="H7" s="9">
        <f>G7*Assumptions!$E$14</f>
        <v/>
      </c>
      <c r="I7" s="9">
        <f>E7-F7-H7</f>
        <v/>
      </c>
      <c r="J7" s="9">
        <f>J6*(1+Assumptions!$E$16)</f>
        <v/>
      </c>
      <c r="K7" s="9">
        <f>I7-J7</f>
        <v/>
      </c>
      <c r="L7" s="9">
        <f>L6+K7</f>
        <v/>
      </c>
    </row>
    <row r="8">
      <c r="A8" t="n">
        <v>7</v>
      </c>
      <c r="B8" s="9">
        <f>B7*(1+Assumptions!$E$9)</f>
        <v/>
      </c>
      <c r="C8" s="9">
        <f>C7*(1+Assumptions!$E$10)</f>
        <v/>
      </c>
      <c r="D8" s="9">
        <f>B8*C8</f>
        <v/>
      </c>
      <c r="E8" s="9">
        <f>D8*Assumptions!$E$11</f>
        <v/>
      </c>
      <c r="F8" s="9">
        <f>D8*Assumptions!$E$12</f>
        <v/>
      </c>
      <c r="G8" s="9">
        <f>B8*Assumptions!$E$13</f>
        <v/>
      </c>
      <c r="H8" s="9">
        <f>G8*Assumptions!$E$14</f>
        <v/>
      </c>
      <c r="I8" s="9">
        <f>E8-F8-H8</f>
        <v/>
      </c>
      <c r="J8" s="9">
        <f>J7*(1+Assumptions!$E$16)</f>
        <v/>
      </c>
      <c r="K8" s="9">
        <f>I8-J8</f>
        <v/>
      </c>
      <c r="L8" s="9">
        <f>L7+K8</f>
        <v/>
      </c>
    </row>
    <row r="9">
      <c r="A9" t="n">
        <v>8</v>
      </c>
      <c r="B9" s="9">
        <f>B8*(1+Assumptions!$E$9)</f>
        <v/>
      </c>
      <c r="C9" s="9">
        <f>C8*(1+Assumptions!$E$10)</f>
        <v/>
      </c>
      <c r="D9" s="9">
        <f>B9*C9</f>
        <v/>
      </c>
      <c r="E9" s="9">
        <f>D9*Assumptions!$E$11</f>
        <v/>
      </c>
      <c r="F9" s="9">
        <f>D9*Assumptions!$E$12</f>
        <v/>
      </c>
      <c r="G9" s="9">
        <f>B9*Assumptions!$E$13</f>
        <v/>
      </c>
      <c r="H9" s="9">
        <f>G9*Assumptions!$E$14</f>
        <v/>
      </c>
      <c r="I9" s="9">
        <f>E9-F9-H9</f>
        <v/>
      </c>
      <c r="J9" s="9">
        <f>J8*(1+Assumptions!$E$16)</f>
        <v/>
      </c>
      <c r="K9" s="9">
        <f>I9-J9</f>
        <v/>
      </c>
      <c r="L9" s="9">
        <f>L8+K9</f>
        <v/>
      </c>
    </row>
    <row r="10">
      <c r="A10" t="n">
        <v>9</v>
      </c>
      <c r="B10" s="9">
        <f>B9*(1+Assumptions!$E$9)</f>
        <v/>
      </c>
      <c r="C10" s="9">
        <f>C9*(1+Assumptions!$E$10)</f>
        <v/>
      </c>
      <c r="D10" s="9">
        <f>B10*C10</f>
        <v/>
      </c>
      <c r="E10" s="9">
        <f>D10*Assumptions!$E$11</f>
        <v/>
      </c>
      <c r="F10" s="9">
        <f>D10*Assumptions!$E$12</f>
        <v/>
      </c>
      <c r="G10" s="9">
        <f>B10*Assumptions!$E$13</f>
        <v/>
      </c>
      <c r="H10" s="9">
        <f>G10*Assumptions!$E$14</f>
        <v/>
      </c>
      <c r="I10" s="9">
        <f>E10-F10-H10</f>
        <v/>
      </c>
      <c r="J10" s="9">
        <f>J9*(1+Assumptions!$E$16)</f>
        <v/>
      </c>
      <c r="K10" s="9">
        <f>I10-J10</f>
        <v/>
      </c>
      <c r="L10" s="9">
        <f>L9+K10</f>
        <v/>
      </c>
    </row>
    <row r="11">
      <c r="A11" t="n">
        <v>10</v>
      </c>
      <c r="B11" s="9">
        <f>B10*(1+Assumptions!$E$9)</f>
        <v/>
      </c>
      <c r="C11" s="9">
        <f>C10*(1+Assumptions!$E$10)</f>
        <v/>
      </c>
      <c r="D11" s="9">
        <f>B11*C11</f>
        <v/>
      </c>
      <c r="E11" s="9">
        <f>D11*Assumptions!$E$11</f>
        <v/>
      </c>
      <c r="F11" s="9">
        <f>D11*Assumptions!$E$12</f>
        <v/>
      </c>
      <c r="G11" s="9">
        <f>B11*Assumptions!$E$13</f>
        <v/>
      </c>
      <c r="H11" s="9">
        <f>G11*Assumptions!$E$14</f>
        <v/>
      </c>
      <c r="I11" s="9">
        <f>E11-F11-H11</f>
        <v/>
      </c>
      <c r="J11" s="9">
        <f>J10*(1+Assumptions!$E$16)</f>
        <v/>
      </c>
      <c r="K11" s="9">
        <f>I11-J11</f>
        <v/>
      </c>
      <c r="L11" s="9">
        <f>L10+K11</f>
        <v/>
      </c>
    </row>
    <row r="12">
      <c r="A12" t="n">
        <v>11</v>
      </c>
      <c r="B12" s="9">
        <f>B11*(1+Assumptions!$E$9)</f>
        <v/>
      </c>
      <c r="C12" s="9">
        <f>C11*(1+Assumptions!$E$10)</f>
        <v/>
      </c>
      <c r="D12" s="9">
        <f>B12*C12</f>
        <v/>
      </c>
      <c r="E12" s="9">
        <f>D12*Assumptions!$E$11</f>
        <v/>
      </c>
      <c r="F12" s="9">
        <f>D12*Assumptions!$E$12</f>
        <v/>
      </c>
      <c r="G12" s="9">
        <f>B12*Assumptions!$E$13</f>
        <v/>
      </c>
      <c r="H12" s="9">
        <f>G12*Assumptions!$E$14</f>
        <v/>
      </c>
      <c r="I12" s="9">
        <f>E12-F12-H12</f>
        <v/>
      </c>
      <c r="J12" s="9">
        <f>J11*(1+Assumptions!$E$16)</f>
        <v/>
      </c>
      <c r="K12" s="9">
        <f>I12-J12</f>
        <v/>
      </c>
      <c r="L12" s="9">
        <f>L11+K12</f>
        <v/>
      </c>
    </row>
    <row r="13">
      <c r="A13" t="n">
        <v>12</v>
      </c>
      <c r="B13" s="9">
        <f>B12*(1+Assumptions!$E$9)</f>
        <v/>
      </c>
      <c r="C13" s="9">
        <f>C12*(1+Assumptions!$E$10)</f>
        <v/>
      </c>
      <c r="D13" s="9">
        <f>B13*C13</f>
        <v/>
      </c>
      <c r="E13" s="9">
        <f>D13*Assumptions!$E$11</f>
        <v/>
      </c>
      <c r="F13" s="9">
        <f>D13*Assumptions!$E$12</f>
        <v/>
      </c>
      <c r="G13" s="9">
        <f>B13*Assumptions!$E$13</f>
        <v/>
      </c>
      <c r="H13" s="9">
        <f>G13*Assumptions!$E$14</f>
        <v/>
      </c>
      <c r="I13" s="9">
        <f>E13-F13-H13</f>
        <v/>
      </c>
      <c r="J13" s="9">
        <f>J12*(1+Assumptions!$E$16)</f>
        <v/>
      </c>
      <c r="K13" s="9">
        <f>I13-J13</f>
        <v/>
      </c>
      <c r="L13" s="9">
        <f>L12+K13</f>
        <v/>
      </c>
    </row>
    <row r="14">
      <c r="A14" t="n">
        <v>13</v>
      </c>
      <c r="B14" s="9">
        <f>B13*(1+Assumptions!$E$9)</f>
        <v/>
      </c>
      <c r="C14" s="9">
        <f>C13*(1+Assumptions!$E$10)</f>
        <v/>
      </c>
      <c r="D14" s="9">
        <f>B14*C14</f>
        <v/>
      </c>
      <c r="E14" s="9">
        <f>D14*Assumptions!$E$11</f>
        <v/>
      </c>
      <c r="F14" s="9">
        <f>D14*Assumptions!$E$12</f>
        <v/>
      </c>
      <c r="G14" s="9">
        <f>B14*Assumptions!$E$13</f>
        <v/>
      </c>
      <c r="H14" s="9">
        <f>G14*Assumptions!$E$14</f>
        <v/>
      </c>
      <c r="I14" s="9">
        <f>E14-F14-H14</f>
        <v/>
      </c>
      <c r="J14" s="9">
        <f>J13*(1+Assumptions!$E$16)</f>
        <v/>
      </c>
      <c r="K14" s="9">
        <f>I14-J14</f>
        <v/>
      </c>
      <c r="L14" s="9">
        <f>L13+K14</f>
        <v/>
      </c>
    </row>
    <row r="15">
      <c r="A15" t="n">
        <v>14</v>
      </c>
      <c r="B15" s="9">
        <f>B14*(1+Assumptions!$E$9)</f>
        <v/>
      </c>
      <c r="C15" s="9">
        <f>C14*(1+Assumptions!$E$10)</f>
        <v/>
      </c>
      <c r="D15" s="9">
        <f>B15*C15</f>
        <v/>
      </c>
      <c r="E15" s="9">
        <f>D15*Assumptions!$E$11</f>
        <v/>
      </c>
      <c r="F15" s="9">
        <f>D15*Assumptions!$E$12</f>
        <v/>
      </c>
      <c r="G15" s="9">
        <f>B15*Assumptions!$E$13</f>
        <v/>
      </c>
      <c r="H15" s="9">
        <f>G15*Assumptions!$E$14</f>
        <v/>
      </c>
      <c r="I15" s="9">
        <f>E15-F15-H15</f>
        <v/>
      </c>
      <c r="J15" s="9">
        <f>J14*(1+Assumptions!$E$16)</f>
        <v/>
      </c>
      <c r="K15" s="9">
        <f>I15-J15</f>
        <v/>
      </c>
      <c r="L15" s="9">
        <f>L14+K15</f>
        <v/>
      </c>
    </row>
    <row r="16">
      <c r="A16" t="n">
        <v>15</v>
      </c>
      <c r="B16" s="9">
        <f>B15*(1+Assumptions!$E$9)</f>
        <v/>
      </c>
      <c r="C16" s="9">
        <f>C15*(1+Assumptions!$E$10)</f>
        <v/>
      </c>
      <c r="D16" s="9">
        <f>B16*C16</f>
        <v/>
      </c>
      <c r="E16" s="9">
        <f>D16*Assumptions!$E$11</f>
        <v/>
      </c>
      <c r="F16" s="9">
        <f>D16*Assumptions!$E$12</f>
        <v/>
      </c>
      <c r="G16" s="9">
        <f>B16*Assumptions!$E$13</f>
        <v/>
      </c>
      <c r="H16" s="9">
        <f>G16*Assumptions!$E$14</f>
        <v/>
      </c>
      <c r="I16" s="9">
        <f>E16-F16-H16</f>
        <v/>
      </c>
      <c r="J16" s="9">
        <f>J15*(1+Assumptions!$E$16)</f>
        <v/>
      </c>
      <c r="K16" s="9">
        <f>I16-J16</f>
        <v/>
      </c>
      <c r="L16" s="9">
        <f>L15+K16</f>
        <v/>
      </c>
    </row>
    <row r="17">
      <c r="A17" t="n">
        <v>16</v>
      </c>
      <c r="B17" s="9">
        <f>B16*(1+Assumptions!$E$9)</f>
        <v/>
      </c>
      <c r="C17" s="9">
        <f>C16*(1+Assumptions!$E$10)</f>
        <v/>
      </c>
      <c r="D17" s="9">
        <f>B17*C17</f>
        <v/>
      </c>
      <c r="E17" s="9">
        <f>D17*Assumptions!$E$11</f>
        <v/>
      </c>
      <c r="F17" s="9">
        <f>D17*Assumptions!$E$12</f>
        <v/>
      </c>
      <c r="G17" s="9">
        <f>B17*Assumptions!$E$13</f>
        <v/>
      </c>
      <c r="H17" s="9">
        <f>G17*Assumptions!$E$14</f>
        <v/>
      </c>
      <c r="I17" s="9">
        <f>E17-F17-H17</f>
        <v/>
      </c>
      <c r="J17" s="9">
        <f>J16*(1+Assumptions!$E$16)</f>
        <v/>
      </c>
      <c r="K17" s="9">
        <f>I17-J17</f>
        <v/>
      </c>
      <c r="L17" s="9">
        <f>L16+K17</f>
        <v/>
      </c>
    </row>
    <row r="18">
      <c r="A18" t="n">
        <v>17</v>
      </c>
      <c r="B18" s="9">
        <f>B17*(1+Assumptions!$E$9)</f>
        <v/>
      </c>
      <c r="C18" s="9">
        <f>C17*(1+Assumptions!$E$10)</f>
        <v/>
      </c>
      <c r="D18" s="9">
        <f>B18*C18</f>
        <v/>
      </c>
      <c r="E18" s="9">
        <f>D18*Assumptions!$E$11</f>
        <v/>
      </c>
      <c r="F18" s="9">
        <f>D18*Assumptions!$E$12</f>
        <v/>
      </c>
      <c r="G18" s="9">
        <f>B18*Assumptions!$E$13</f>
        <v/>
      </c>
      <c r="H18" s="9">
        <f>G18*Assumptions!$E$14</f>
        <v/>
      </c>
      <c r="I18" s="9">
        <f>E18-F18-H18</f>
        <v/>
      </c>
      <c r="J18" s="9">
        <f>J17*(1+Assumptions!$E$16)</f>
        <v/>
      </c>
      <c r="K18" s="9">
        <f>I18-J18</f>
        <v/>
      </c>
      <c r="L18" s="9">
        <f>L17+K18</f>
        <v/>
      </c>
    </row>
    <row r="19">
      <c r="A19" t="n">
        <v>18</v>
      </c>
      <c r="B19" s="9">
        <f>B18*(1+Assumptions!$E$9)</f>
        <v/>
      </c>
      <c r="C19" s="9">
        <f>C18*(1+Assumptions!$E$10)</f>
        <v/>
      </c>
      <c r="D19" s="9">
        <f>B19*C19</f>
        <v/>
      </c>
      <c r="E19" s="9">
        <f>D19*Assumptions!$E$11</f>
        <v/>
      </c>
      <c r="F19" s="9">
        <f>D19*Assumptions!$E$12</f>
        <v/>
      </c>
      <c r="G19" s="9">
        <f>B19*Assumptions!$E$13</f>
        <v/>
      </c>
      <c r="H19" s="9">
        <f>G19*Assumptions!$E$14</f>
        <v/>
      </c>
      <c r="I19" s="9">
        <f>E19-F19-H19</f>
        <v/>
      </c>
      <c r="J19" s="9">
        <f>J18*(1+Assumptions!$E$16)</f>
        <v/>
      </c>
      <c r="K19" s="9">
        <f>I19-J19</f>
        <v/>
      </c>
      <c r="L19" s="9">
        <f>L18+K19</f>
        <v/>
      </c>
    </row>
    <row r="20">
      <c r="A20" t="n">
        <v>19</v>
      </c>
      <c r="B20" s="9">
        <f>B19*(1+Assumptions!$E$9)</f>
        <v/>
      </c>
      <c r="C20" s="9">
        <f>C19*(1+Assumptions!$E$10)</f>
        <v/>
      </c>
      <c r="D20" s="9">
        <f>B20*C20</f>
        <v/>
      </c>
      <c r="E20" s="9">
        <f>D20*Assumptions!$E$11</f>
        <v/>
      </c>
      <c r="F20" s="9">
        <f>D20*Assumptions!$E$12</f>
        <v/>
      </c>
      <c r="G20" s="9">
        <f>B20*Assumptions!$E$13</f>
        <v/>
      </c>
      <c r="H20" s="9">
        <f>G20*Assumptions!$E$14</f>
        <v/>
      </c>
      <c r="I20" s="9">
        <f>E20-F20-H20</f>
        <v/>
      </c>
      <c r="J20" s="9">
        <f>J19*(1+Assumptions!$E$16)</f>
        <v/>
      </c>
      <c r="K20" s="9">
        <f>I20-J20</f>
        <v/>
      </c>
      <c r="L20" s="9">
        <f>L19+K20</f>
        <v/>
      </c>
    </row>
    <row r="21">
      <c r="A21" t="n">
        <v>20</v>
      </c>
      <c r="B21" s="9">
        <f>B20*(1+Assumptions!$E$9)</f>
        <v/>
      </c>
      <c r="C21" s="9">
        <f>C20*(1+Assumptions!$E$10)</f>
        <v/>
      </c>
      <c r="D21" s="9">
        <f>B21*C21</f>
        <v/>
      </c>
      <c r="E21" s="9">
        <f>D21*Assumptions!$E$11</f>
        <v/>
      </c>
      <c r="F21" s="9">
        <f>D21*Assumptions!$E$12</f>
        <v/>
      </c>
      <c r="G21" s="9">
        <f>B21*Assumptions!$E$13</f>
        <v/>
      </c>
      <c r="H21" s="9">
        <f>G21*Assumptions!$E$14</f>
        <v/>
      </c>
      <c r="I21" s="9">
        <f>E21-F21-H21</f>
        <v/>
      </c>
      <c r="J21" s="9">
        <f>J20*(1+Assumptions!$E$16)</f>
        <v/>
      </c>
      <c r="K21" s="9">
        <f>I21-J21</f>
        <v/>
      </c>
      <c r="L21" s="9">
        <f>L20+K21</f>
        <v/>
      </c>
    </row>
    <row r="22">
      <c r="A22" t="n">
        <v>21</v>
      </c>
      <c r="B22" s="9">
        <f>B21*(1+Assumptions!$E$9)</f>
        <v/>
      </c>
      <c r="C22" s="9">
        <f>C21*(1+Assumptions!$E$10)</f>
        <v/>
      </c>
      <c r="D22" s="9">
        <f>B22*C22</f>
        <v/>
      </c>
      <c r="E22" s="9">
        <f>D22*Assumptions!$E$11</f>
        <v/>
      </c>
      <c r="F22" s="9">
        <f>D22*Assumptions!$E$12</f>
        <v/>
      </c>
      <c r="G22" s="9">
        <f>B22*Assumptions!$E$13</f>
        <v/>
      </c>
      <c r="H22" s="9">
        <f>G22*Assumptions!$E$14</f>
        <v/>
      </c>
      <c r="I22" s="9">
        <f>E22-F22-H22</f>
        <v/>
      </c>
      <c r="J22" s="9">
        <f>J21*(1+Assumptions!$E$16)</f>
        <v/>
      </c>
      <c r="K22" s="9">
        <f>I22-J22</f>
        <v/>
      </c>
      <c r="L22" s="9">
        <f>L21+K22</f>
        <v/>
      </c>
    </row>
    <row r="23">
      <c r="A23" t="n">
        <v>22</v>
      </c>
      <c r="B23" s="9">
        <f>B22*(1+Assumptions!$E$9)</f>
        <v/>
      </c>
      <c r="C23" s="9">
        <f>C22*(1+Assumptions!$E$10)</f>
        <v/>
      </c>
      <c r="D23" s="9">
        <f>B23*C23</f>
        <v/>
      </c>
      <c r="E23" s="9">
        <f>D23*Assumptions!$E$11</f>
        <v/>
      </c>
      <c r="F23" s="9">
        <f>D23*Assumptions!$E$12</f>
        <v/>
      </c>
      <c r="G23" s="9">
        <f>B23*Assumptions!$E$13</f>
        <v/>
      </c>
      <c r="H23" s="9">
        <f>G23*Assumptions!$E$14</f>
        <v/>
      </c>
      <c r="I23" s="9">
        <f>E23-F23-H23</f>
        <v/>
      </c>
      <c r="J23" s="9">
        <f>J22*(1+Assumptions!$E$16)</f>
        <v/>
      </c>
      <c r="K23" s="9">
        <f>I23-J23</f>
        <v/>
      </c>
      <c r="L23" s="9">
        <f>L22+K23</f>
        <v/>
      </c>
    </row>
    <row r="24">
      <c r="A24" t="n">
        <v>23</v>
      </c>
      <c r="B24" s="9">
        <f>B23*(1+Assumptions!$E$9)</f>
        <v/>
      </c>
      <c r="C24" s="9">
        <f>C23*(1+Assumptions!$E$10)</f>
        <v/>
      </c>
      <c r="D24" s="9">
        <f>B24*C24</f>
        <v/>
      </c>
      <c r="E24" s="9">
        <f>D24*Assumptions!$E$11</f>
        <v/>
      </c>
      <c r="F24" s="9">
        <f>D24*Assumptions!$E$12</f>
        <v/>
      </c>
      <c r="G24" s="9">
        <f>B24*Assumptions!$E$13</f>
        <v/>
      </c>
      <c r="H24" s="9">
        <f>G24*Assumptions!$E$14</f>
        <v/>
      </c>
      <c r="I24" s="9">
        <f>E24-F24-H24</f>
        <v/>
      </c>
      <c r="J24" s="9">
        <f>J23*(1+Assumptions!$E$16)</f>
        <v/>
      </c>
      <c r="K24" s="9">
        <f>I24-J24</f>
        <v/>
      </c>
      <c r="L24" s="9">
        <f>L23+K24</f>
        <v/>
      </c>
    </row>
    <row r="25">
      <c r="A25" t="n">
        <v>24</v>
      </c>
      <c r="B25" s="9">
        <f>B24*(1+Assumptions!$E$9)</f>
        <v/>
      </c>
      <c r="C25" s="9">
        <f>C24*(1+Assumptions!$E$10)</f>
        <v/>
      </c>
      <c r="D25" s="9">
        <f>B25*C25</f>
        <v/>
      </c>
      <c r="E25" s="9">
        <f>D25*Assumptions!$E$11</f>
        <v/>
      </c>
      <c r="F25" s="9">
        <f>D25*Assumptions!$E$12</f>
        <v/>
      </c>
      <c r="G25" s="9">
        <f>B25*Assumptions!$E$13</f>
        <v/>
      </c>
      <c r="H25" s="9">
        <f>G25*Assumptions!$E$14</f>
        <v/>
      </c>
      <c r="I25" s="9">
        <f>E25-F25-H25</f>
        <v/>
      </c>
      <c r="J25" s="9">
        <f>J24*(1+Assumptions!$E$16)</f>
        <v/>
      </c>
      <c r="K25" s="9">
        <f>I25-J25</f>
        <v/>
      </c>
      <c r="L25" s="9">
        <f>L24+K25</f>
        <v/>
      </c>
    </row>
    <row r="26">
      <c r="A26" t="n">
        <v>25</v>
      </c>
      <c r="B26" s="9">
        <f>B25*(1+Assumptions!$E$9)</f>
        <v/>
      </c>
      <c r="C26" s="9">
        <f>C25*(1+Assumptions!$E$10)</f>
        <v/>
      </c>
      <c r="D26" s="9">
        <f>B26*C26</f>
        <v/>
      </c>
      <c r="E26" s="9">
        <f>D26*Assumptions!$E$11</f>
        <v/>
      </c>
      <c r="F26" s="9">
        <f>D26*Assumptions!$E$12</f>
        <v/>
      </c>
      <c r="G26" s="9">
        <f>B26*Assumptions!$E$13</f>
        <v/>
      </c>
      <c r="H26" s="9">
        <f>G26*Assumptions!$E$14</f>
        <v/>
      </c>
      <c r="I26" s="9">
        <f>E26-F26-H26</f>
        <v/>
      </c>
      <c r="J26" s="9">
        <f>J25*(1+Assumptions!$E$16)</f>
        <v/>
      </c>
      <c r="K26" s="9">
        <f>I26-J26</f>
        <v/>
      </c>
      <c r="L26" s="9">
        <f>L25+K26</f>
        <v/>
      </c>
    </row>
    <row r="27">
      <c r="A27" t="n">
        <v>26</v>
      </c>
      <c r="B27" s="9">
        <f>B26*(1+Assumptions!$E$9)</f>
        <v/>
      </c>
      <c r="C27" s="9">
        <f>C26*(1+Assumptions!$E$10)</f>
        <v/>
      </c>
      <c r="D27" s="9">
        <f>B27*C27</f>
        <v/>
      </c>
      <c r="E27" s="9">
        <f>D27*Assumptions!$E$11</f>
        <v/>
      </c>
      <c r="F27" s="9">
        <f>D27*Assumptions!$E$12</f>
        <v/>
      </c>
      <c r="G27" s="9">
        <f>B27*Assumptions!$E$13</f>
        <v/>
      </c>
      <c r="H27" s="9">
        <f>G27*Assumptions!$E$14</f>
        <v/>
      </c>
      <c r="I27" s="9">
        <f>E27-F27-H27</f>
        <v/>
      </c>
      <c r="J27" s="9">
        <f>J26*(1+Assumptions!$E$16)</f>
        <v/>
      </c>
      <c r="K27" s="9">
        <f>I27-J27</f>
        <v/>
      </c>
      <c r="L27" s="9">
        <f>L26+K27</f>
        <v/>
      </c>
    </row>
    <row r="28">
      <c r="A28" t="n">
        <v>27</v>
      </c>
      <c r="B28" s="9">
        <f>B27*(1+Assumptions!$E$9)</f>
        <v/>
      </c>
      <c r="C28" s="9">
        <f>C27*(1+Assumptions!$E$10)</f>
        <v/>
      </c>
      <c r="D28" s="9">
        <f>B28*C28</f>
        <v/>
      </c>
      <c r="E28" s="9">
        <f>D28*Assumptions!$E$11</f>
        <v/>
      </c>
      <c r="F28" s="9">
        <f>D28*Assumptions!$E$12</f>
        <v/>
      </c>
      <c r="G28" s="9">
        <f>B28*Assumptions!$E$13</f>
        <v/>
      </c>
      <c r="H28" s="9">
        <f>G28*Assumptions!$E$14</f>
        <v/>
      </c>
      <c r="I28" s="9">
        <f>E28-F28-H28</f>
        <v/>
      </c>
      <c r="J28" s="9">
        <f>J27*(1+Assumptions!$E$16)</f>
        <v/>
      </c>
      <c r="K28" s="9">
        <f>I28-J28</f>
        <v/>
      </c>
      <c r="L28" s="9">
        <f>L27+K28</f>
        <v/>
      </c>
    </row>
    <row r="29">
      <c r="A29" t="n">
        <v>28</v>
      </c>
      <c r="B29" s="9">
        <f>B28*(1+Assumptions!$E$9)</f>
        <v/>
      </c>
      <c r="C29" s="9">
        <f>C28*(1+Assumptions!$E$10)</f>
        <v/>
      </c>
      <c r="D29" s="9">
        <f>B29*C29</f>
        <v/>
      </c>
      <c r="E29" s="9">
        <f>D29*Assumptions!$E$11</f>
        <v/>
      </c>
      <c r="F29" s="9">
        <f>D29*Assumptions!$E$12</f>
        <v/>
      </c>
      <c r="G29" s="9">
        <f>B29*Assumptions!$E$13</f>
        <v/>
      </c>
      <c r="H29" s="9">
        <f>G29*Assumptions!$E$14</f>
        <v/>
      </c>
      <c r="I29" s="9">
        <f>E29-F29-H29</f>
        <v/>
      </c>
      <c r="J29" s="9">
        <f>J28*(1+Assumptions!$E$16)</f>
        <v/>
      </c>
      <c r="K29" s="9">
        <f>I29-J29</f>
        <v/>
      </c>
      <c r="L29" s="9">
        <f>L28+K29</f>
        <v/>
      </c>
    </row>
    <row r="30">
      <c r="A30" t="n">
        <v>29</v>
      </c>
      <c r="B30" s="9">
        <f>B29*(1+Assumptions!$E$9)</f>
        <v/>
      </c>
      <c r="C30" s="9">
        <f>C29*(1+Assumptions!$E$10)</f>
        <v/>
      </c>
      <c r="D30" s="9">
        <f>B30*C30</f>
        <v/>
      </c>
      <c r="E30" s="9">
        <f>D30*Assumptions!$E$11</f>
        <v/>
      </c>
      <c r="F30" s="9">
        <f>D30*Assumptions!$E$12</f>
        <v/>
      </c>
      <c r="G30" s="9">
        <f>B30*Assumptions!$E$13</f>
        <v/>
      </c>
      <c r="H30" s="9">
        <f>G30*Assumptions!$E$14</f>
        <v/>
      </c>
      <c r="I30" s="9">
        <f>E30-F30-H30</f>
        <v/>
      </c>
      <c r="J30" s="9">
        <f>J29*(1+Assumptions!$E$16)</f>
        <v/>
      </c>
      <c r="K30" s="9">
        <f>I30-J30</f>
        <v/>
      </c>
      <c r="L30" s="9">
        <f>L29+K30</f>
        <v/>
      </c>
    </row>
    <row r="31">
      <c r="A31" t="n">
        <v>30</v>
      </c>
      <c r="B31" s="9">
        <f>B30*(1+Assumptions!$E$9)</f>
        <v/>
      </c>
      <c r="C31" s="9">
        <f>C30*(1+Assumptions!$E$10)</f>
        <v/>
      </c>
      <c r="D31" s="9">
        <f>B31*C31</f>
        <v/>
      </c>
      <c r="E31" s="9">
        <f>D31*Assumptions!$E$11</f>
        <v/>
      </c>
      <c r="F31" s="9">
        <f>D31*Assumptions!$E$12</f>
        <v/>
      </c>
      <c r="G31" s="9">
        <f>B31*Assumptions!$E$13</f>
        <v/>
      </c>
      <c r="H31" s="9">
        <f>G31*Assumptions!$E$14</f>
        <v/>
      </c>
      <c r="I31" s="9">
        <f>E31-F31-H31</f>
        <v/>
      </c>
      <c r="J31" s="9">
        <f>J30*(1+Assumptions!$E$16)</f>
        <v/>
      </c>
      <c r="K31" s="9">
        <f>I31-J31</f>
        <v/>
      </c>
      <c r="L31" s="9">
        <f>L30+K31</f>
        <v/>
      </c>
    </row>
    <row r="32">
      <c r="A32" t="n">
        <v>31</v>
      </c>
      <c r="B32" s="9">
        <f>B31*(1+Assumptions!$E$9)</f>
        <v/>
      </c>
      <c r="C32" s="9">
        <f>C31*(1+Assumptions!$E$10)</f>
        <v/>
      </c>
      <c r="D32" s="9">
        <f>B32*C32</f>
        <v/>
      </c>
      <c r="E32" s="9">
        <f>D32*Assumptions!$E$11</f>
        <v/>
      </c>
      <c r="F32" s="9">
        <f>D32*Assumptions!$E$12</f>
        <v/>
      </c>
      <c r="G32" s="9">
        <f>B32*Assumptions!$E$13</f>
        <v/>
      </c>
      <c r="H32" s="9">
        <f>G32*Assumptions!$E$14</f>
        <v/>
      </c>
      <c r="I32" s="9">
        <f>E32-F32-H32</f>
        <v/>
      </c>
      <c r="J32" s="9">
        <f>J31*(1+Assumptions!$E$16)</f>
        <v/>
      </c>
      <c r="K32" s="9">
        <f>I32-J32</f>
        <v/>
      </c>
      <c r="L32" s="9">
        <f>L31+K32</f>
        <v/>
      </c>
    </row>
    <row r="33">
      <c r="A33" t="n">
        <v>32</v>
      </c>
      <c r="B33" s="9">
        <f>B32*(1+Assumptions!$E$9)</f>
        <v/>
      </c>
      <c r="C33" s="9">
        <f>C32*(1+Assumptions!$E$10)</f>
        <v/>
      </c>
      <c r="D33" s="9">
        <f>B33*C33</f>
        <v/>
      </c>
      <c r="E33" s="9">
        <f>D33*Assumptions!$E$11</f>
        <v/>
      </c>
      <c r="F33" s="9">
        <f>D33*Assumptions!$E$12</f>
        <v/>
      </c>
      <c r="G33" s="9">
        <f>B33*Assumptions!$E$13</f>
        <v/>
      </c>
      <c r="H33" s="9">
        <f>G33*Assumptions!$E$14</f>
        <v/>
      </c>
      <c r="I33" s="9">
        <f>E33-F33-H33</f>
        <v/>
      </c>
      <c r="J33" s="9">
        <f>J32*(1+Assumptions!$E$16)</f>
        <v/>
      </c>
      <c r="K33" s="9">
        <f>I33-J33</f>
        <v/>
      </c>
      <c r="L33" s="9">
        <f>L32+K33</f>
        <v/>
      </c>
    </row>
    <row r="34">
      <c r="A34" t="n">
        <v>33</v>
      </c>
      <c r="B34" s="9">
        <f>B33*(1+Assumptions!$E$9)</f>
        <v/>
      </c>
      <c r="C34" s="9">
        <f>C33*(1+Assumptions!$E$10)</f>
        <v/>
      </c>
      <c r="D34" s="9">
        <f>B34*C34</f>
        <v/>
      </c>
      <c r="E34" s="9">
        <f>D34*Assumptions!$E$11</f>
        <v/>
      </c>
      <c r="F34" s="9">
        <f>D34*Assumptions!$E$12</f>
        <v/>
      </c>
      <c r="G34" s="9">
        <f>B34*Assumptions!$E$13</f>
        <v/>
      </c>
      <c r="H34" s="9">
        <f>G34*Assumptions!$E$14</f>
        <v/>
      </c>
      <c r="I34" s="9">
        <f>E34-F34-H34</f>
        <v/>
      </c>
      <c r="J34" s="9">
        <f>J33*(1+Assumptions!$E$16)</f>
        <v/>
      </c>
      <c r="K34" s="9">
        <f>I34-J34</f>
        <v/>
      </c>
      <c r="L34" s="9">
        <f>L33+K34</f>
        <v/>
      </c>
    </row>
    <row r="35">
      <c r="A35" t="n">
        <v>34</v>
      </c>
      <c r="B35" s="9">
        <f>B34*(1+Assumptions!$E$9)</f>
        <v/>
      </c>
      <c r="C35" s="9">
        <f>C34*(1+Assumptions!$E$10)</f>
        <v/>
      </c>
      <c r="D35" s="9">
        <f>B35*C35</f>
        <v/>
      </c>
      <c r="E35" s="9">
        <f>D35*Assumptions!$E$11</f>
        <v/>
      </c>
      <c r="F35" s="9">
        <f>D35*Assumptions!$E$12</f>
        <v/>
      </c>
      <c r="G35" s="9">
        <f>B35*Assumptions!$E$13</f>
        <v/>
      </c>
      <c r="H35" s="9">
        <f>G35*Assumptions!$E$14</f>
        <v/>
      </c>
      <c r="I35" s="9">
        <f>E35-F35-H35</f>
        <v/>
      </c>
      <c r="J35" s="9">
        <f>J34*(1+Assumptions!$E$16)</f>
        <v/>
      </c>
      <c r="K35" s="9">
        <f>I35-J35</f>
        <v/>
      </c>
      <c r="L35" s="9">
        <f>L34+K35</f>
        <v/>
      </c>
    </row>
    <row r="36">
      <c r="A36" t="n">
        <v>35</v>
      </c>
      <c r="B36" s="9">
        <f>B35*(1+Assumptions!$E$9)</f>
        <v/>
      </c>
      <c r="C36" s="9">
        <f>C35*(1+Assumptions!$E$10)</f>
        <v/>
      </c>
      <c r="D36" s="9">
        <f>B36*C36</f>
        <v/>
      </c>
      <c r="E36" s="9">
        <f>D36*Assumptions!$E$11</f>
        <v/>
      </c>
      <c r="F36" s="9">
        <f>D36*Assumptions!$E$12</f>
        <v/>
      </c>
      <c r="G36" s="9">
        <f>B36*Assumptions!$E$13</f>
        <v/>
      </c>
      <c r="H36" s="9">
        <f>G36*Assumptions!$E$14</f>
        <v/>
      </c>
      <c r="I36" s="9">
        <f>E36-F36-H36</f>
        <v/>
      </c>
      <c r="J36" s="9">
        <f>J35*(1+Assumptions!$E$16)</f>
        <v/>
      </c>
      <c r="K36" s="9">
        <f>I36-J36</f>
        <v/>
      </c>
      <c r="L36" s="9">
        <f>L35+K36</f>
        <v/>
      </c>
    </row>
    <row r="37">
      <c r="A37" t="n">
        <v>36</v>
      </c>
      <c r="B37" s="9">
        <f>B36*(1+Assumptions!$E$9)</f>
        <v/>
      </c>
      <c r="C37" s="9">
        <f>C36*(1+Assumptions!$E$10)</f>
        <v/>
      </c>
      <c r="D37" s="9">
        <f>B37*C37</f>
        <v/>
      </c>
      <c r="E37" s="9">
        <f>D37*Assumptions!$E$11</f>
        <v/>
      </c>
      <c r="F37" s="9">
        <f>D37*Assumptions!$E$12</f>
        <v/>
      </c>
      <c r="G37" s="9">
        <f>B37*Assumptions!$E$13</f>
        <v/>
      </c>
      <c r="H37" s="9">
        <f>G37*Assumptions!$E$14</f>
        <v/>
      </c>
      <c r="I37" s="9">
        <f>E37-F37-H37</f>
        <v/>
      </c>
      <c r="J37" s="9">
        <f>J36*(1+Assumptions!$E$16)</f>
        <v/>
      </c>
      <c r="K37" s="9">
        <f>I37-J37</f>
        <v/>
      </c>
      <c r="L37" s="9">
        <f>L36+K37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2" t="inlineStr">
        <is>
          <t>Scenario</t>
        </is>
      </c>
      <c r="B1" s="9">
        <f>Assumptions!B4</f>
        <v/>
      </c>
    </row>
    <row r="2">
      <c r="A2" s="2" t="inlineStr">
        <is>
          <t>GMV, month 12</t>
        </is>
      </c>
      <c r="B2" s="9">
        <f>Model!D13</f>
        <v/>
      </c>
    </row>
    <row r="3">
      <c r="A3" s="2" t="inlineStr">
        <is>
          <t>GMV, month 36</t>
        </is>
      </c>
      <c r="B3" s="9">
        <f>Model!D37</f>
        <v/>
      </c>
    </row>
    <row r="4">
      <c r="A4" s="2" t="inlineStr">
        <is>
          <t>Contribution margin, month 12</t>
        </is>
      </c>
      <c r="B4" s="5">
        <f>Model!I13/Model!E13</f>
        <v/>
      </c>
    </row>
    <row r="5">
      <c r="A5" s="2" t="inlineStr">
        <is>
          <t>First month with positive EBITDA</t>
        </is>
      </c>
      <c r="B5" s="9">
        <f>IFERROR(INDEX(Model!A2:A37,MATCH(TRUE,INDEX(Model!K2:K37&gt;0,0),0)),"not within 36 months")</f>
        <v/>
      </c>
    </row>
    <row r="6">
      <c r="A6" s="2" t="inlineStr">
        <is>
          <t>Lowest cash balance</t>
        </is>
      </c>
      <c r="B6" s="9">
        <f>MIN(Model!L2:L37)</f>
        <v/>
      </c>
    </row>
    <row r="7">
      <c r="A7" s="2" t="inlineStr">
        <is>
          <t>Months of runway (cash &gt; 0)</t>
        </is>
      </c>
      <c r="B7" s="9">
        <f>COUNTIF(Model!L2:L37,"&gt;0")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2026-09-23T16:07:44Z</dcterms:created>
  <dcterms:modified xsi:type="dcterms:W3CDTF">2026-09-23T16:07:44Z</dcterms:modified>
</cp:coreProperties>
</file>